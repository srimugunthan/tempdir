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Assumptions" sheetId="2" state="visible" r:id="rId4"/>
    <sheet name="OOC_Benefit" sheetId="3" state="visible" r:id="rId5"/>
    <sheet name="Summ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<sst xmlns="http://schemas.openxmlformats.org/spreadsheetml/2006/main" count="131" uniqueCount="112">
  <si>
    <t xml:space="preserve">US ATM — Out-of-Cash (OOC) Avoidance Benefit Model</t>
  </si>
  <si>
    <t xml:space="preserve">Purpose</t>
  </si>
  <si>
    <t xml:space="preserve">Quantifies the annual $ benefit to a US bank of preventing ATM out-of-cash (OOC) events — e.g. via recycling ATM conversion, better replenishment scheduling, or forecasting improvements. Benefit is split into a HARD total (auditable, dollar-backed) and a SOFT sensitivity band (dissatisfaction/reputational, shown separately so it is never silently blended into the headline number).</t>
  </si>
  <si>
    <t xml:space="preserve">Benefit categories included</t>
  </si>
  <si>
    <t xml:space="preserve">Fee &amp; interchange revenue</t>
  </si>
  <si>
    <t xml:space="preserve">Surcharge + network interchange lost on the non-customer share of transactions at your ATM. Your own customers generate $0 here — no surcharge is charged to account holders and no interchange applies on an on-us transaction.</t>
  </si>
  <si>
    <t xml:space="preserve">Channel cost-shifting</t>
  </si>
  <si>
    <t xml:space="preserve">Transactions that migrate to a more expensive channel (teller/branch) when the ATM is down; benefit = txns migrated x (teller cost − ATM cost).</t>
  </si>
  <si>
    <t xml:space="preserve">CIT dispatch premium</t>
  </si>
  <si>
    <t xml:space="preserve">The premium of an unscheduled/emergency cash-in-transit dispatch over what a normal scheduled route stop would have cost anyway.</t>
  </si>
  <si>
    <t xml:space="preserve">Complaint/dispute handling</t>
  </si>
  <si>
    <t xml:space="preserve">Cost of tickets, Reg E disputes, or CFPB complaints generated by a share of OOC events.</t>
  </si>
  <si>
    <t xml:space="preserve">Soft cost (sensitivity band only)</t>
  </si>
  <si>
    <t xml:space="preserve">Illustrative low/mid/high dissatisfaction-reputational cost, shown separately — not included in the hard total or the headline payback math.</t>
  </si>
  <si>
    <t xml:space="preserve">Sheets in this workbook</t>
  </si>
  <si>
    <t xml:space="preserve">Assumptions</t>
  </si>
  <si>
    <t xml:space="preserve">All editable inputs. Yellow cells = your inputs.</t>
  </si>
  <si>
    <t xml:space="preserve">OOC_Benefit</t>
  </si>
  <si>
    <t xml:space="preserve">Builds cost-per-event for each hard-cost category, then scales to fleet-wide annual $.</t>
  </si>
  <si>
    <t xml:space="preserve">Summary</t>
  </si>
  <si>
    <t xml:space="preserve">Hard-cost total, soft-cost band shown alongside it, and the investment case (payback, ROI) built on the conservative hard-only number.</t>
  </si>
  <si>
    <t xml:space="preserve">Color legend</t>
  </si>
  <si>
    <t xml:space="preserve">Yellow fill, blue text</t>
  </si>
  <si>
    <t xml:space="preserve">Input — edit these.</t>
  </si>
  <si>
    <t xml:space="preserve">Black text</t>
  </si>
  <si>
    <t xml:space="preserve">Formula, calculated within the same sheet.</t>
  </si>
  <si>
    <t xml:space="preserve">Green text</t>
  </si>
  <si>
    <t xml:space="preserve">Formula linking to another sheet.</t>
  </si>
  <si>
    <t xml:space="preserve">Example values</t>
  </si>
  <si>
    <t xml:space="preserve">Pre-filled illustrative starting values (e.g. $3.22 average industry surcharge, $0.45 average network interchange tier). Replace with your own bank's posted surcharge, your actual interchange tier, and your own observed OOC rates and transaction mix before relying on the output — the industry averages are a starting point only, not your numbers.</t>
  </si>
  <si>
    <t xml:space="preserve">Key Assumptions &amp; Inputs</t>
  </si>
  <si>
    <t xml:space="preserve">Edit only the yellow cells. Figures are per-ATM-per-month unless stated otherwise.</t>
  </si>
  <si>
    <t xml:space="preserve">A. Fleet Parameters</t>
  </si>
  <si>
    <t xml:space="preserve">Value</t>
  </si>
  <si>
    <t xml:space="preserve">Unit</t>
  </si>
  <si>
    <t xml:space="preserve">Number of ATMs in scope (recycling conversion / scheduling improvement)</t>
  </si>
  <si>
    <t xml:space="preserve">ATMs</t>
  </si>
  <si>
    <t xml:space="preserve">Analysis period</t>
  </si>
  <si>
    <t xml:space="preserve">months</t>
  </si>
  <si>
    <t xml:space="preserve">Investment cost per ATM (one-time)</t>
  </si>
  <si>
    <t xml:space="preserve">$ per ATM</t>
  </si>
  <si>
    <t xml:space="preserve">B. OOC Event Rates</t>
  </si>
  <si>
    <t xml:space="preserve">Baseline</t>
  </si>
  <si>
    <t xml:space="preserve">Improved (post-fix)</t>
  </si>
  <si>
    <t xml:space="preserve">OOC events per ATM per month</t>
  </si>
  <si>
    <t xml:space="preserve">events/ATM/month</t>
  </si>
  <si>
    <t xml:space="preserve">Avg. transactions lost per OOC event (until replenished)</t>
  </si>
  <si>
    <t xml:space="preserve">txns/event</t>
  </si>
  <si>
    <t xml:space="preserve">C. Fee &amp; Interchange Revenue (US) — applies ONLY to non-customer transaction share</t>
  </si>
  <si>
    <t xml:space="preserve">% of ATM transactions from non-account-holders (surcharge-eligible)</t>
  </si>
  <si>
    <t xml:space="preserve">own customers = 0% here — no surcharge/interchange on an on-us transaction</t>
  </si>
  <si>
    <t xml:space="preserve">Surcharge charged to non-customers per transaction</t>
  </si>
  <si>
    <t xml:space="preserve">$/txn — replace with your bank's actual posted surcharge (industry avg. shown)</t>
  </si>
  <si>
    <t xml:space="preserve">Network interchange (cash disbursement reimbursement) earned per non-customer txn</t>
  </si>
  <si>
    <t xml:space="preserve">$/txn — replace with your actual network tier (industry range ~$0.30-$0.60)</t>
  </si>
  <si>
    <t xml:space="preserve">D. Channel Cost-Shifting</t>
  </si>
  <si>
    <t xml:space="preserve">% of lost ATM transactions that migrate to teller/branch (rest are abandoned/lost)</t>
  </si>
  <si>
    <t xml:space="preserve">Cost per teller/branch transaction</t>
  </si>
  <si>
    <t xml:space="preserve">$/txn — use your own unit-cost-by-channel figure</t>
  </si>
  <si>
    <t xml:space="preserve">Cost per ATM self-service transaction (baseline channel cost)</t>
  </si>
  <si>
    <t xml:space="preserve">$/txn</t>
  </si>
  <si>
    <t xml:space="preserve">E. CIT Dispatch Premium</t>
  </si>
  <si>
    <t xml:space="preserve">Cost of a scheduled CIT stop (would occur anyway on the normal route)</t>
  </si>
  <si>
    <t xml:space="preserve">$/stop</t>
  </si>
  <si>
    <t xml:space="preserve">Cost of an unscheduled/emergency CIT dispatch</t>
  </si>
  <si>
    <t xml:space="preserve">$/dispatch</t>
  </si>
  <si>
    <t xml:space="preserve">F. Complaint / Dispute Handling</t>
  </si>
  <si>
    <t xml:space="preserve">% of OOC events that generate a formal complaint/dispute ticket</t>
  </si>
  <si>
    <t xml:space="preserve">Avg. cost to handle a complaint/dispute ticket</t>
  </si>
  <si>
    <t xml:space="preserve">$/ticket — agent time + any goodwill credit issued</t>
  </si>
  <si>
    <t xml:space="preserve">G. Soft Cost — Dissatisfaction / Reputational (sensitivity band, NOT in hard total)</t>
  </si>
  <si>
    <t xml:space="preserve">Low</t>
  </si>
  <si>
    <t xml:space="preserve">Mid</t>
  </si>
  <si>
    <t xml:space="preserve">High</t>
  </si>
  <si>
    <t xml:space="preserve">Illustrative dissatisfaction/reputational cost per OOC event</t>
  </si>
  <si>
    <t xml:space="preserve">Benefit from Avoided Out-of-Cash (OOC) Events — US ATM Fleet</t>
  </si>
  <si>
    <t xml:space="preserve">All inputs are linked (green) from the Assumptions sheet. Nothing here needs editing.</t>
  </si>
  <si>
    <t xml:space="preserve">1. Hard Cost per OOC Event — Build-Up</t>
  </si>
  <si>
    <t xml:space="preserve">Fee &amp; interchange revenue lost (txns lost x non-customer % x (surcharge + interchange))</t>
  </si>
  <si>
    <t xml:space="preserve">Channel cost-shifting avoided (txns lost x migrate % x (teller cost − ATM cost))</t>
  </si>
  <si>
    <t xml:space="preserve">CIT dispatch premium avoided (emergency dispatch cost − scheduled stop cost)</t>
  </si>
  <si>
    <t xml:space="preserve">Complaint/dispute handling cost avoided (complaint % x cost per ticket)</t>
  </si>
  <si>
    <t xml:space="preserve">Total HARD cost per OOC event</t>
  </si>
  <si>
    <t xml:space="preserve">2. Hard-Cost Monthly &amp; Annual Benefit (per ATM, then fleet-wide)</t>
  </si>
  <si>
    <t xml:space="preserve">Reduction / Benefit</t>
  </si>
  <si>
    <t xml:space="preserve">Hard cost per event ($)</t>
  </si>
  <si>
    <t xml:space="preserve">Monthly hard cost per ATM</t>
  </si>
  <si>
    <t xml:space="preserve">Annual hard cost per ATM (x analysis period)</t>
  </si>
  <si>
    <t xml:space="preserve">Fleet-wide annual hard cost (x number of ATMs)</t>
  </si>
  <si>
    <t xml:space="preserve">3. HARD Result (auditable — used for the investment case)</t>
  </si>
  <si>
    <t xml:space="preserve">Annual $ Benefit — Avoided OOC Events, HARD COSTS ONLY (fleet-wide)</t>
  </si>
  <si>
    <t xml:space="preserve">4. SOFT Cost Sensitivity Band (dissatisfaction/reputational — NOT in hard total above)</t>
  </si>
  <si>
    <t xml:space="preserve">Soft cost per OOC event</t>
  </si>
  <si>
    <t xml:space="preserve">Fleet-wide annual soft-cost benefit (reduction in events x soft cost x fleet x period)</t>
  </si>
  <si>
    <t xml:space="preserve">The soft-cost band is illustrative and intentionally excluded from the hard total and the investment-case math on the Summary tab. Report it as a range alongside the hard number, not folded into it, unless your finance team has an actual churn/CLV-based cost to substitute.</t>
  </si>
  <si>
    <t xml:space="preserve">US ATM OOC Avoidance — Benefit Summary</t>
  </si>
  <si>
    <t xml:space="preserve">Pulls results from OOC_Benefit. Edit the Assumptions sheet only.</t>
  </si>
  <si>
    <t xml:space="preserve">1. Annual Benefit — Hard vs. Soft</t>
  </si>
  <si>
    <t xml:space="preserve">HARD cost avoidance (fee/interchange + channel shift + CIT premium + complaints)</t>
  </si>
  <si>
    <t xml:space="preserve">SOFT cost avoidance (dissatisfaction/reputational — illustrative band)</t>
  </si>
  <si>
    <t xml:space="preserve">Total (hard + soft) — for illustration only</t>
  </si>
  <si>
    <t xml:space="preserve">2. Investment Case (built on HARD benefit only — conservative)</t>
  </si>
  <si>
    <t xml:space="preserve">Number of ATMs in scope</t>
  </si>
  <si>
    <t xml:space="preserve">Investment cost per ATM</t>
  </si>
  <si>
    <t xml:space="preserve">Total fleet investment cost</t>
  </si>
  <si>
    <t xml:space="preserve">Simple payback period (using HARD benefit)</t>
  </si>
  <si>
    <t xml:space="preserve">3-year net benefit (HARD benefit x3, less one-time investment cost)</t>
  </si>
  <si>
    <t xml:space="preserve">3-year ROI (%, HARD benefit only)</t>
  </si>
  <si>
    <t xml:space="preserve">3. Headline Result</t>
  </si>
  <si>
    <t xml:space="preserve">Total Annual $ Benefit of Preventing OOC Events (HARD, conservative)</t>
  </si>
  <si>
    <t xml:space="preserve">+ Soft-cost sensitivity range (illustrative, shown separately)</t>
  </si>
  <si>
    <t xml:space="preserve">Benefit = (baseline OOC rate − improved OOC rate) x cost per event x fleet size x period. The hard-cost total (fee/interchange, channel cost-shift, CIT premium, complaint handling) is auditable against real bank data. The soft-cost band is a labeled sensitivity range, not a point estimate, and is deliberately excluded from the payback/ROI math above so the investment case doesn't rest on an unverifiable number. Validate the improved-state OOC rate against pilot data before using this for a funding decision.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</si>
</sst>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;\(#,##0\);\-"/>
    <numFmt numFmtId="166" formatCode="\$#,##0;&quot;($&quot;#,##0\);\-"/>
    <numFmt numFmtId="167" formatCode="#,##0.0;\(#,##0.0\);\-"/>
    <numFmt numFmtId="168" formatCode="0.0%"/>
    <numFmt numFmtId="169" formatCode="\$#,##0.00;&quot;($&quot;#,##0.00\);\-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3"/>
      <color rgb="FF1F4E78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4472C4"/>
      </patternFill>
    </fill>
    <fill>
      <patternFill patternType="solid">
        <fgColor rgb="FF4472C4"/>
        <bgColor rgb="FF2E75B6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FCE4D6"/>
      </patternFill>
    </fill>
    <fill>
      <patternFill patternType="solid">
        <fgColor rgb="FFC6E0B4"/>
        <bgColor rgb="FFD9E1F2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2E75B6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CE4D6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92"/>
  </cols>
  <sheetData>
    <row r="1" customFormat="false" ht="25.5" hidden="false" customHeight="true" outlineLevel="0" collapsed="false">
      <c r="A1" s="1" t="s">
        <v>0</v>
      </c>
      <c r="B1" s="1"/>
    </row>
    <row r="3" customFormat="false" ht="46.25" hidden="false" customHeight="false" outlineLevel="0" collapsed="false">
      <c r="A3" s="2" t="s">
        <v>1</v>
      </c>
      <c r="B3" s="3" t="s">
        <v>2</v>
      </c>
    </row>
    <row r="5" customFormat="false" ht="15" hidden="false" customHeight="false" outlineLevel="0" collapsed="false">
      <c r="A5" s="2" t="s">
        <v>3</v>
      </c>
    </row>
    <row r="6" customFormat="false" ht="35.05" hidden="false" customHeight="false" outlineLevel="0" collapsed="false">
      <c r="A6" s="2" t="s">
        <v>4</v>
      </c>
      <c r="B6" s="3" t="s">
        <v>5</v>
      </c>
    </row>
    <row r="7" customFormat="false" ht="23.85" hidden="false" customHeight="false" outlineLevel="0" collapsed="false">
      <c r="A7" s="2" t="s">
        <v>6</v>
      </c>
      <c r="B7" s="3" t="s">
        <v>7</v>
      </c>
    </row>
    <row r="8" customFormat="false" ht="23.85" hidden="false" customHeight="false" outlineLevel="0" collapsed="false">
      <c r="A8" s="2" t="s">
        <v>8</v>
      </c>
      <c r="B8" s="3" t="s">
        <v>9</v>
      </c>
    </row>
    <row r="9" customFormat="false" ht="15" hidden="false" customHeight="false" outlineLevel="0" collapsed="false">
      <c r="A9" s="2" t="s">
        <v>10</v>
      </c>
      <c r="B9" s="3" t="s">
        <v>11</v>
      </c>
    </row>
    <row r="10" customFormat="false" ht="23.85" hidden="false" customHeight="false" outlineLevel="0" collapsed="false">
      <c r="A10" s="2" t="s">
        <v>12</v>
      </c>
      <c r="B10" s="3" t="s">
        <v>13</v>
      </c>
    </row>
    <row r="12" customFormat="false" ht="15" hidden="false" customHeight="false" outlineLevel="0" collapsed="false">
      <c r="A12" s="2" t="s">
        <v>14</v>
      </c>
    </row>
    <row r="13" customFormat="false" ht="15" hidden="false" customHeight="false" outlineLevel="0" collapsed="false">
      <c r="A13" s="2" t="s">
        <v>15</v>
      </c>
      <c r="B13" s="3" t="s">
        <v>16</v>
      </c>
    </row>
    <row r="14" customFormat="false" ht="15" hidden="false" customHeight="false" outlineLevel="0" collapsed="false">
      <c r="A14" s="2" t="s">
        <v>17</v>
      </c>
      <c r="B14" s="3" t="s">
        <v>18</v>
      </c>
    </row>
    <row r="15" customFormat="false" ht="23.85" hidden="false" customHeight="false" outlineLevel="0" collapsed="false">
      <c r="A15" s="2" t="s">
        <v>19</v>
      </c>
      <c r="B15" s="3" t="s">
        <v>20</v>
      </c>
    </row>
    <row r="17" customFormat="false" ht="15" hidden="false" customHeight="false" outlineLevel="0" collapsed="false">
      <c r="A17" s="2" t="s">
        <v>21</v>
      </c>
    </row>
    <row r="18" customFormat="false" ht="15" hidden="false" customHeight="false" outlineLevel="0" collapsed="false">
      <c r="A18" s="2" t="s">
        <v>22</v>
      </c>
      <c r="B18" s="3" t="s">
        <v>23</v>
      </c>
    </row>
    <row r="19" customFormat="false" ht="15" hidden="false" customHeight="false" outlineLevel="0" collapsed="false">
      <c r="A19" s="2" t="s">
        <v>24</v>
      </c>
      <c r="B19" s="3" t="s">
        <v>25</v>
      </c>
    </row>
    <row r="20" customFormat="false" ht="15" hidden="false" customHeight="false" outlineLevel="0" collapsed="false">
      <c r="A20" s="2" t="s">
        <v>26</v>
      </c>
      <c r="B20" s="3" t="s">
        <v>27</v>
      </c>
    </row>
    <row r="22" customFormat="false" ht="46.25" hidden="false" customHeight="false" outlineLevel="0" collapsed="false">
      <c r="A22" s="2" t="s">
        <v>28</v>
      </c>
      <c r="B22" s="3" t="s">
        <v>29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3" min="2" style="0" width="16"/>
    <col collapsed="false" customWidth="true" hidden="false" outlineLevel="0" max="4" min="4" style="0" width="46"/>
  </cols>
  <sheetData>
    <row r="1" customFormat="false" ht="25.5" hidden="false" customHeight="true" outlineLevel="0" collapsed="false">
      <c r="A1" s="1" t="s">
        <v>30</v>
      </c>
      <c r="B1" s="1"/>
      <c r="C1" s="1"/>
      <c r="D1" s="1"/>
    </row>
    <row r="2" customFormat="false" ht="22.35" hidden="false" customHeight="false" outlineLevel="0" collapsed="false">
      <c r="A2" s="4" t="s">
        <v>31</v>
      </c>
    </row>
    <row r="4" customFormat="false" ht="19.5" hidden="false" customHeight="true" outlineLevel="0" collapsed="false">
      <c r="A4" s="5" t="s">
        <v>32</v>
      </c>
      <c r="B4" s="5"/>
      <c r="C4" s="5"/>
      <c r="D4" s="5"/>
    </row>
    <row r="5" customFormat="false" ht="15" hidden="false" customHeight="false" outlineLevel="0" collapsed="false">
      <c r="B5" s="6" t="s">
        <v>33</v>
      </c>
      <c r="C5" s="6" t="s">
        <v>34</v>
      </c>
    </row>
    <row r="6" customFormat="false" ht="23.85" hidden="false" customHeight="false" outlineLevel="0" collapsed="false">
      <c r="A6" s="3" t="s">
        <v>35</v>
      </c>
      <c r="B6" s="7" t="n">
        <v>100</v>
      </c>
      <c r="C6" s="3" t="s">
        <v>36</v>
      </c>
    </row>
    <row r="7" customFormat="false" ht="15" hidden="false" customHeight="false" outlineLevel="0" collapsed="false">
      <c r="A7" s="3" t="s">
        <v>37</v>
      </c>
      <c r="B7" s="7" t="n">
        <v>12</v>
      </c>
      <c r="C7" s="3" t="s">
        <v>38</v>
      </c>
    </row>
    <row r="8" customFormat="false" ht="15" hidden="false" customHeight="false" outlineLevel="0" collapsed="false">
      <c r="A8" s="3" t="s">
        <v>39</v>
      </c>
      <c r="B8" s="8" t="n">
        <v>350000</v>
      </c>
      <c r="C8" s="3" t="s">
        <v>40</v>
      </c>
    </row>
    <row r="10" customFormat="false" ht="19.5" hidden="false" customHeight="true" outlineLevel="0" collapsed="false">
      <c r="A10" s="5" t="s">
        <v>41</v>
      </c>
      <c r="B10" s="5"/>
      <c r="C10" s="5"/>
      <c r="D10" s="5"/>
    </row>
    <row r="11" customFormat="false" ht="23.85" hidden="false" customHeight="false" outlineLevel="0" collapsed="false">
      <c r="B11" s="6" t="s">
        <v>42</v>
      </c>
      <c r="C11" s="6" t="s">
        <v>43</v>
      </c>
      <c r="D11" s="6" t="s">
        <v>34</v>
      </c>
    </row>
    <row r="12" customFormat="false" ht="15" hidden="false" customHeight="false" outlineLevel="0" collapsed="false">
      <c r="A12" s="3" t="s">
        <v>44</v>
      </c>
      <c r="B12" s="9" t="n">
        <v>1.2</v>
      </c>
      <c r="C12" s="9" t="n">
        <v>0.3</v>
      </c>
      <c r="D12" s="3" t="s">
        <v>45</v>
      </c>
    </row>
    <row r="13" customFormat="false" ht="15" hidden="false" customHeight="false" outlineLevel="0" collapsed="false">
      <c r="A13" s="3" t="s">
        <v>46</v>
      </c>
      <c r="B13" s="7" t="n">
        <v>45</v>
      </c>
      <c r="D13" s="3" t="s">
        <v>47</v>
      </c>
    </row>
    <row r="15" customFormat="false" ht="19.5" hidden="false" customHeight="true" outlineLevel="0" collapsed="false">
      <c r="A15" s="5" t="s">
        <v>48</v>
      </c>
      <c r="B15" s="5"/>
      <c r="C15" s="5"/>
      <c r="D15" s="5"/>
    </row>
    <row r="16" customFormat="false" ht="15" hidden="false" customHeight="false" outlineLevel="0" collapsed="false">
      <c r="B16" s="6" t="s">
        <v>33</v>
      </c>
      <c r="C16" s="6" t="s">
        <v>34</v>
      </c>
    </row>
    <row r="17" customFormat="false" ht="23.85" hidden="false" customHeight="false" outlineLevel="0" collapsed="false">
      <c r="A17" s="3" t="s">
        <v>49</v>
      </c>
      <c r="B17" s="10" t="n">
        <v>0.25</v>
      </c>
      <c r="D17" s="3" t="s">
        <v>50</v>
      </c>
    </row>
    <row r="18" customFormat="false" ht="23.85" hidden="false" customHeight="false" outlineLevel="0" collapsed="false">
      <c r="A18" s="3" t="s">
        <v>51</v>
      </c>
      <c r="B18" s="11" t="n">
        <v>3.22</v>
      </c>
      <c r="D18" s="3" t="s">
        <v>52</v>
      </c>
    </row>
    <row r="19" customFormat="false" ht="23.85" hidden="false" customHeight="false" outlineLevel="0" collapsed="false">
      <c r="A19" s="3" t="s">
        <v>53</v>
      </c>
      <c r="B19" s="11" t="n">
        <v>0.45</v>
      </c>
      <c r="D19" s="3" t="s">
        <v>54</v>
      </c>
    </row>
    <row r="21" customFormat="false" ht="19.5" hidden="false" customHeight="true" outlineLevel="0" collapsed="false">
      <c r="A21" s="5" t="s">
        <v>55</v>
      </c>
      <c r="B21" s="5"/>
      <c r="C21" s="5"/>
      <c r="D21" s="5"/>
    </row>
    <row r="22" customFormat="false" ht="15" hidden="false" customHeight="false" outlineLevel="0" collapsed="false">
      <c r="B22" s="6" t="s">
        <v>33</v>
      </c>
      <c r="C22" s="6" t="s">
        <v>34</v>
      </c>
    </row>
    <row r="23" customFormat="false" ht="23.85" hidden="false" customHeight="false" outlineLevel="0" collapsed="false">
      <c r="A23" s="3" t="s">
        <v>56</v>
      </c>
      <c r="B23" s="10" t="n">
        <v>0.4</v>
      </c>
    </row>
    <row r="24" customFormat="false" ht="15" hidden="false" customHeight="false" outlineLevel="0" collapsed="false">
      <c r="A24" s="3" t="s">
        <v>57</v>
      </c>
      <c r="B24" s="11" t="n">
        <v>4.25</v>
      </c>
      <c r="D24" s="3" t="s">
        <v>58</v>
      </c>
    </row>
    <row r="25" customFormat="false" ht="15" hidden="false" customHeight="false" outlineLevel="0" collapsed="false">
      <c r="A25" s="3" t="s">
        <v>59</v>
      </c>
      <c r="B25" s="11" t="n">
        <v>0.35</v>
      </c>
      <c r="D25" s="3" t="s">
        <v>60</v>
      </c>
    </row>
    <row r="27" customFormat="false" ht="19.5" hidden="false" customHeight="true" outlineLevel="0" collapsed="false">
      <c r="A27" s="5" t="s">
        <v>61</v>
      </c>
      <c r="B27" s="5"/>
      <c r="C27" s="5"/>
      <c r="D27" s="5"/>
    </row>
    <row r="28" customFormat="false" ht="15" hidden="false" customHeight="false" outlineLevel="0" collapsed="false">
      <c r="B28" s="6" t="s">
        <v>33</v>
      </c>
      <c r="C28" s="6" t="s">
        <v>34</v>
      </c>
    </row>
    <row r="29" customFormat="false" ht="23.85" hidden="false" customHeight="false" outlineLevel="0" collapsed="false">
      <c r="A29" s="3" t="s">
        <v>62</v>
      </c>
      <c r="B29" s="8" t="n">
        <v>300</v>
      </c>
      <c r="D29" s="3" t="s">
        <v>63</v>
      </c>
    </row>
    <row r="30" customFormat="false" ht="15" hidden="false" customHeight="false" outlineLevel="0" collapsed="false">
      <c r="A30" s="3" t="s">
        <v>64</v>
      </c>
      <c r="B30" s="8" t="n">
        <v>2500</v>
      </c>
      <c r="D30" s="3" t="s">
        <v>65</v>
      </c>
    </row>
    <row r="32" customFormat="false" ht="19.5" hidden="false" customHeight="true" outlineLevel="0" collapsed="false">
      <c r="A32" s="5" t="s">
        <v>66</v>
      </c>
      <c r="B32" s="5"/>
      <c r="C32" s="5"/>
      <c r="D32" s="5"/>
    </row>
    <row r="33" customFormat="false" ht="15" hidden="false" customHeight="false" outlineLevel="0" collapsed="false">
      <c r="B33" s="6" t="s">
        <v>33</v>
      </c>
      <c r="C33" s="6" t="s">
        <v>34</v>
      </c>
    </row>
    <row r="34" customFormat="false" ht="23.85" hidden="false" customHeight="false" outlineLevel="0" collapsed="false">
      <c r="A34" s="3" t="s">
        <v>67</v>
      </c>
      <c r="B34" s="10" t="n">
        <v>0.05</v>
      </c>
    </row>
    <row r="35" customFormat="false" ht="15" hidden="false" customHeight="false" outlineLevel="0" collapsed="false">
      <c r="A35" s="3" t="s">
        <v>68</v>
      </c>
      <c r="B35" s="8" t="n">
        <v>45</v>
      </c>
      <c r="D35" s="3" t="s">
        <v>69</v>
      </c>
    </row>
    <row r="37" customFormat="false" ht="19.5" hidden="false" customHeight="true" outlineLevel="0" collapsed="false">
      <c r="A37" s="5" t="s">
        <v>70</v>
      </c>
      <c r="B37" s="5"/>
      <c r="C37" s="5"/>
      <c r="D37" s="5"/>
    </row>
    <row r="38" customFormat="false" ht="15" hidden="false" customHeight="false" outlineLevel="0" collapsed="false">
      <c r="B38" s="6" t="s">
        <v>71</v>
      </c>
      <c r="C38" s="6" t="s">
        <v>72</v>
      </c>
      <c r="D38" s="6" t="s">
        <v>73</v>
      </c>
    </row>
    <row r="39" customFormat="false" ht="15" hidden="false" customHeight="false" outlineLevel="0" collapsed="false">
      <c r="A39" s="3" t="s">
        <v>74</v>
      </c>
      <c r="B39" s="8" t="n">
        <v>0</v>
      </c>
      <c r="C39" s="8" t="n">
        <v>75</v>
      </c>
      <c r="D39" s="8" t="n">
        <v>150</v>
      </c>
    </row>
  </sheetData>
  <mergeCells count="8">
    <mergeCell ref="A1:D1"/>
    <mergeCell ref="A4:D4"/>
    <mergeCell ref="A10:D10"/>
    <mergeCell ref="A15:D15"/>
    <mergeCell ref="A21:D21"/>
    <mergeCell ref="A27:D27"/>
    <mergeCell ref="A32:D32"/>
    <mergeCell ref="A37:D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4" min="2" style="0" width="20"/>
  </cols>
  <sheetData>
    <row r="1" customFormat="false" ht="25.5" hidden="false" customHeight="true" outlineLevel="0" collapsed="false">
      <c r="A1" s="1" t="s">
        <v>75</v>
      </c>
      <c r="B1" s="1"/>
      <c r="C1" s="1"/>
      <c r="D1" s="1"/>
    </row>
    <row r="2" customFormat="false" ht="22.35" hidden="false" customHeight="false" outlineLevel="0" collapsed="false">
      <c r="A2" s="4" t="s">
        <v>76</v>
      </c>
    </row>
    <row r="4" customFormat="false" ht="19.5" hidden="false" customHeight="true" outlineLevel="0" collapsed="false">
      <c r="A4" s="5" t="s">
        <v>77</v>
      </c>
      <c r="B4" s="5"/>
      <c r="C4" s="5"/>
      <c r="D4" s="5"/>
    </row>
    <row r="5" customFormat="false" ht="23.85" hidden="false" customHeight="false" outlineLevel="0" collapsed="false">
      <c r="A5" s="3" t="s">
        <v>78</v>
      </c>
      <c r="B5" s="12" t="n">
        <f aca="false">Assumptions!$B$13*Assumptions!$B$17*(Assumptions!$B$18+Assumptions!$B$19)</f>
        <v>41.2875</v>
      </c>
    </row>
    <row r="6" customFormat="false" ht="23.85" hidden="false" customHeight="false" outlineLevel="0" collapsed="false">
      <c r="A6" s="3" t="s">
        <v>79</v>
      </c>
      <c r="B6" s="12" t="n">
        <f aca="false">Assumptions!$B$13*Assumptions!$B$23*(Assumptions!$B$24-Assumptions!$B$25)</f>
        <v>70.2</v>
      </c>
    </row>
    <row r="7" customFormat="false" ht="23.85" hidden="false" customHeight="false" outlineLevel="0" collapsed="false">
      <c r="A7" s="3" t="s">
        <v>80</v>
      </c>
      <c r="B7" s="13" t="n">
        <f aca="false">Assumptions!$B$30-Assumptions!$B$29</f>
        <v>2200</v>
      </c>
    </row>
    <row r="8" customFormat="false" ht="23.85" hidden="false" customHeight="false" outlineLevel="0" collapsed="false">
      <c r="A8" s="3" t="s">
        <v>81</v>
      </c>
      <c r="B8" s="12" t="n">
        <f aca="false">Assumptions!$B$34*Assumptions!$B$35</f>
        <v>2.25</v>
      </c>
    </row>
    <row r="9" customFormat="false" ht="15" hidden="false" customHeight="false" outlineLevel="0" collapsed="false">
      <c r="A9" s="2" t="s">
        <v>82</v>
      </c>
      <c r="B9" s="14" t="n">
        <f aca="false">B5+B6+B7+B8</f>
        <v>2313.7375</v>
      </c>
    </row>
    <row r="11" customFormat="false" ht="19.5" hidden="false" customHeight="true" outlineLevel="0" collapsed="false">
      <c r="A11" s="5" t="s">
        <v>83</v>
      </c>
      <c r="B11" s="5"/>
      <c r="C11" s="5"/>
      <c r="D11" s="5"/>
    </row>
    <row r="12" customFormat="false" ht="15" hidden="false" customHeight="false" outlineLevel="0" collapsed="false">
      <c r="B12" s="6" t="s">
        <v>42</v>
      </c>
      <c r="C12" s="6" t="s">
        <v>43</v>
      </c>
      <c r="D12" s="6" t="s">
        <v>84</v>
      </c>
    </row>
    <row r="13" customFormat="false" ht="15" hidden="false" customHeight="false" outlineLevel="0" collapsed="false">
      <c r="A13" s="3" t="s">
        <v>44</v>
      </c>
      <c r="B13" s="15" t="n">
        <f aca="false">Assumptions!$B$12</f>
        <v>1.2</v>
      </c>
      <c r="C13" s="15" t="n">
        <f aca="false">Assumptions!$C$12</f>
        <v>0.3</v>
      </c>
      <c r="D13" s="16" t="n">
        <f aca="false">B13-C13</f>
        <v>0.9</v>
      </c>
    </row>
    <row r="14" customFormat="false" ht="15" hidden="false" customHeight="false" outlineLevel="0" collapsed="false">
      <c r="A14" s="3" t="s">
        <v>85</v>
      </c>
      <c r="B14" s="17" t="n">
        <f aca="false">$B$9</f>
        <v>2313.7375</v>
      </c>
      <c r="C14" s="17" t="n">
        <f aca="false">$B$9</f>
        <v>2313.7375</v>
      </c>
    </row>
    <row r="15" customFormat="false" ht="15" hidden="false" customHeight="false" outlineLevel="0" collapsed="false">
      <c r="A15" s="3" t="s">
        <v>86</v>
      </c>
      <c r="B15" s="17" t="n">
        <f aca="false">B13*B14</f>
        <v>2776.485</v>
      </c>
      <c r="C15" s="17" t="n">
        <f aca="false">C13*C14</f>
        <v>694.12125</v>
      </c>
      <c r="D15" s="17" t="n">
        <f aca="false">B15-C15</f>
        <v>2082.36375</v>
      </c>
    </row>
    <row r="16" customFormat="false" ht="15" hidden="false" customHeight="false" outlineLevel="0" collapsed="false">
      <c r="A16" s="3" t="s">
        <v>87</v>
      </c>
      <c r="B16" s="17" t="n">
        <f aca="false">B15*Assumptions!$B$7</f>
        <v>33317.82</v>
      </c>
      <c r="C16" s="17" t="n">
        <f aca="false">C15*Assumptions!$B$7</f>
        <v>8329.455</v>
      </c>
      <c r="D16" s="17" t="n">
        <f aca="false">B16-C16</f>
        <v>24988.365</v>
      </c>
    </row>
    <row r="17" customFormat="false" ht="15" hidden="false" customHeight="false" outlineLevel="0" collapsed="false">
      <c r="A17" s="2" t="s">
        <v>88</v>
      </c>
      <c r="B17" s="18" t="n">
        <f aca="false">B16*Assumptions!$B$6</f>
        <v>3331782</v>
      </c>
      <c r="C17" s="18" t="n">
        <f aca="false">C16*Assumptions!$B$6</f>
        <v>832945.5</v>
      </c>
      <c r="D17" s="19" t="n">
        <f aca="false">B17-C17</f>
        <v>2498836.5</v>
      </c>
    </row>
    <row r="19" customFormat="false" ht="19.5" hidden="false" customHeight="true" outlineLevel="0" collapsed="false">
      <c r="A19" s="5" t="s">
        <v>89</v>
      </c>
      <c r="B19" s="5"/>
      <c r="C19" s="5"/>
      <c r="D19" s="5"/>
    </row>
    <row r="20" customFormat="false" ht="23.85" hidden="false" customHeight="false" outlineLevel="0" collapsed="false">
      <c r="A20" s="2" t="s">
        <v>90</v>
      </c>
      <c r="B20" s="19" t="n">
        <f aca="false">D17</f>
        <v>2498836.5</v>
      </c>
      <c r="C20" s="19"/>
      <c r="D20" s="19"/>
    </row>
    <row r="22" customFormat="false" ht="19.5" hidden="false" customHeight="true" outlineLevel="0" collapsed="false">
      <c r="A22" s="5" t="s">
        <v>91</v>
      </c>
      <c r="B22" s="5"/>
      <c r="C22" s="5"/>
      <c r="D22" s="5"/>
    </row>
    <row r="23" customFormat="false" ht="15" hidden="false" customHeight="false" outlineLevel="0" collapsed="false">
      <c r="B23" s="6" t="s">
        <v>71</v>
      </c>
      <c r="C23" s="6" t="s">
        <v>72</v>
      </c>
      <c r="D23" s="6" t="s">
        <v>73</v>
      </c>
    </row>
    <row r="24" customFormat="false" ht="15" hidden="false" customHeight="false" outlineLevel="0" collapsed="false">
      <c r="A24" s="3" t="s">
        <v>92</v>
      </c>
      <c r="B24" s="13" t="n">
        <f aca="false">Assumptions!$B$39</f>
        <v>0</v>
      </c>
      <c r="C24" s="13" t="n">
        <f aca="false">Assumptions!$C$39</f>
        <v>75</v>
      </c>
      <c r="D24" s="13" t="n">
        <f aca="false">Assumptions!$D$39</f>
        <v>150</v>
      </c>
    </row>
    <row r="25" customFormat="false" ht="23.85" hidden="false" customHeight="false" outlineLevel="0" collapsed="false">
      <c r="A25" s="2" t="s">
        <v>93</v>
      </c>
      <c r="B25" s="20" t="n">
        <f aca="false">D13*B24*Assumptions!$B$7*Assumptions!$B$6</f>
        <v>0</v>
      </c>
      <c r="C25" s="20" t="n">
        <f aca="false">D13*C24*Assumptions!$B$7*Assumptions!$B$6</f>
        <v>81000</v>
      </c>
      <c r="D25" s="20" t="n">
        <f aca="false">D13*D24*Assumptions!$B$7*Assumptions!$B$6</f>
        <v>162000</v>
      </c>
    </row>
    <row r="27" customFormat="false" ht="15" hidden="false" customHeight="true" outlineLevel="0" collapsed="false">
      <c r="A27" s="21" t="s">
        <v>94</v>
      </c>
      <c r="B27" s="21"/>
      <c r="C27" s="21"/>
      <c r="D27" s="21"/>
    </row>
    <row r="28" customFormat="false" ht="15" hidden="false" customHeight="false" outlineLevel="0" collapsed="false">
      <c r="A28" s="21"/>
      <c r="B28" s="21"/>
      <c r="C28" s="21"/>
      <c r="D28" s="21"/>
    </row>
  </sheetData>
  <mergeCells count="7">
    <mergeCell ref="A1:D1"/>
    <mergeCell ref="A4:D4"/>
    <mergeCell ref="A11:D11"/>
    <mergeCell ref="A19:D19"/>
    <mergeCell ref="B20:D20"/>
    <mergeCell ref="A22:D22"/>
    <mergeCell ref="A27:D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4" min="2" style="0" width="22"/>
  </cols>
  <sheetData>
    <row r="1" customFormat="false" ht="25.5" hidden="false" customHeight="true" outlineLevel="0" collapsed="false">
      <c r="A1" s="1" t="s">
        <v>95</v>
      </c>
      <c r="B1" s="1"/>
      <c r="C1" s="1"/>
      <c r="D1" s="1"/>
    </row>
    <row r="2" customFormat="false" ht="15" hidden="false" customHeight="false" outlineLevel="0" collapsed="false">
      <c r="A2" s="4" t="s">
        <v>96</v>
      </c>
    </row>
    <row r="4" customFormat="false" ht="19.5" hidden="false" customHeight="true" outlineLevel="0" collapsed="false">
      <c r="A4" s="5" t="s">
        <v>97</v>
      </c>
      <c r="B4" s="5"/>
      <c r="C4" s="5"/>
      <c r="D4" s="5"/>
    </row>
    <row r="5" customFormat="false" ht="15" hidden="false" customHeight="false" outlineLevel="0" collapsed="false">
      <c r="B5" s="6" t="s">
        <v>71</v>
      </c>
      <c r="C5" s="6" t="s">
        <v>72</v>
      </c>
      <c r="D5" s="6" t="s">
        <v>73</v>
      </c>
    </row>
    <row r="6" customFormat="false" ht="23.85" hidden="false" customHeight="false" outlineLevel="0" collapsed="false">
      <c r="A6" s="2" t="s">
        <v>98</v>
      </c>
      <c r="B6" s="19" t="n">
        <f aca="false">OOC_Benefit!$B$20</f>
        <v>2498836.5</v>
      </c>
      <c r="C6" s="19" t="n">
        <f aca="false">OOC_Benefit!$B$20</f>
        <v>2498836.5</v>
      </c>
      <c r="D6" s="19" t="n">
        <f aca="false">OOC_Benefit!$B$20</f>
        <v>2498836.5</v>
      </c>
    </row>
    <row r="7" customFormat="false" ht="23.85" hidden="false" customHeight="false" outlineLevel="0" collapsed="false">
      <c r="A7" s="3" t="s">
        <v>99</v>
      </c>
      <c r="B7" s="22" t="n">
        <f aca="false">OOC_Benefit!$B$25</f>
        <v>0</v>
      </c>
      <c r="C7" s="22" t="n">
        <f aca="false">OOC_Benefit!$C$25</f>
        <v>81000</v>
      </c>
      <c r="D7" s="22" t="n">
        <f aca="false">OOC_Benefit!$D$25</f>
        <v>162000</v>
      </c>
    </row>
    <row r="8" customFormat="false" ht="15" hidden="false" customHeight="false" outlineLevel="0" collapsed="false">
      <c r="A8" s="3" t="s">
        <v>100</v>
      </c>
      <c r="B8" s="17" t="n">
        <f aca="false">B6+B7</f>
        <v>2498836.5</v>
      </c>
      <c r="C8" s="17" t="n">
        <f aca="false">C6+C7</f>
        <v>2579836.5</v>
      </c>
      <c r="D8" s="17" t="n">
        <f aca="false">D6+D7</f>
        <v>2660836.5</v>
      </c>
    </row>
    <row r="10" customFormat="false" ht="19.5" hidden="false" customHeight="true" outlineLevel="0" collapsed="false">
      <c r="A10" s="5" t="s">
        <v>101</v>
      </c>
      <c r="B10" s="5"/>
      <c r="C10" s="5"/>
      <c r="D10" s="5"/>
    </row>
    <row r="11" customFormat="false" ht="15" hidden="false" customHeight="false" outlineLevel="0" collapsed="false">
      <c r="A11" s="3" t="s">
        <v>102</v>
      </c>
      <c r="B11" s="23" t="n">
        <f aca="false">Assumptions!$B$6</f>
        <v>100</v>
      </c>
    </row>
    <row r="12" customFormat="false" ht="15" hidden="false" customHeight="false" outlineLevel="0" collapsed="false">
      <c r="A12" s="3" t="s">
        <v>103</v>
      </c>
      <c r="B12" s="13" t="n">
        <f aca="false">Assumptions!$B$8</f>
        <v>350000</v>
      </c>
    </row>
    <row r="13" customFormat="false" ht="15" hidden="false" customHeight="false" outlineLevel="0" collapsed="false">
      <c r="A13" s="3" t="s">
        <v>104</v>
      </c>
      <c r="B13" s="18" t="n">
        <f aca="false">Assumptions!$B$6*Assumptions!$B$8</f>
        <v>35000000</v>
      </c>
    </row>
    <row r="14" customFormat="false" ht="15" hidden="false" customHeight="false" outlineLevel="0" collapsed="false">
      <c r="A14" s="2" t="s">
        <v>105</v>
      </c>
      <c r="B14" s="24" t="n">
        <f aca="false">B13/(B6/12)</f>
        <v>168.078223605266</v>
      </c>
      <c r="C14" s="3" t="s">
        <v>38</v>
      </c>
    </row>
    <row r="15" customFormat="false" ht="23.85" hidden="false" customHeight="false" outlineLevel="0" collapsed="false">
      <c r="A15" s="2" t="s">
        <v>106</v>
      </c>
      <c r="B15" s="19" t="n">
        <f aca="false">(B6*3)-B13</f>
        <v>-27503490.5</v>
      </c>
    </row>
    <row r="16" customFormat="false" ht="15" hidden="false" customHeight="false" outlineLevel="0" collapsed="false">
      <c r="A16" s="2" t="s">
        <v>107</v>
      </c>
      <c r="B16" s="25" t="n">
        <f aca="false">B15/B13</f>
        <v>-0.785814014285714</v>
      </c>
    </row>
    <row r="18" customFormat="false" ht="19.5" hidden="false" customHeight="true" outlineLevel="0" collapsed="false">
      <c r="A18" s="5" t="s">
        <v>108</v>
      </c>
      <c r="B18" s="5"/>
      <c r="C18" s="5"/>
      <c r="D18" s="5"/>
    </row>
    <row r="19" customFormat="false" ht="24" hidden="false" customHeight="true" outlineLevel="0" collapsed="false">
      <c r="A19" s="2" t="s">
        <v>109</v>
      </c>
      <c r="B19" s="26" t="n">
        <f aca="false">B6</f>
        <v>2498836.5</v>
      </c>
      <c r="C19" s="26"/>
      <c r="D19" s="26"/>
    </row>
    <row r="20" customFormat="false" ht="15" hidden="false" customHeight="false" outlineLevel="0" collapsed="false">
      <c r="A20" s="3" t="s">
        <v>110</v>
      </c>
      <c r="B20" s="17" t="n">
        <f aca="false">OOC_Benefit!$B$25</f>
        <v>0</v>
      </c>
      <c r="C20" s="17" t="n">
        <f aca="false">OOC_Benefit!$C$25</f>
        <v>81000</v>
      </c>
      <c r="D20" s="17" t="n">
        <f aca="false">OOC_Benefit!$D$25</f>
        <v>162000</v>
      </c>
    </row>
    <row r="22" customFormat="false" ht="15" hidden="false" customHeight="true" outlineLevel="0" collapsed="false">
      <c r="A22" s="21" t="s">
        <v>111</v>
      </c>
      <c r="B22" s="21"/>
      <c r="C22" s="21"/>
      <c r="D22" s="21"/>
    </row>
    <row r="23" customFormat="false" ht="15" hidden="false" customHeight="false" outlineLevel="0" collapsed="false">
      <c r="A23" s="21"/>
      <c r="B23" s="21"/>
      <c r="C23" s="21"/>
      <c r="D23" s="21"/>
    </row>
    <row r="24" customFormat="false" ht="15" hidden="false" customHeight="false" outlineLevel="0" collapsed="false">
      <c r="A24" s="21"/>
      <c r="B24" s="21"/>
      <c r="C24" s="21"/>
      <c r="D24" s="21"/>
    </row>
  </sheetData>
  <mergeCells count="6">
    <mergeCell ref="A1:D1"/>
    <mergeCell ref="A4:D4"/>
    <mergeCell ref="A10:D10"/>
    <mergeCell ref="A18:D18"/>
    <mergeCell ref="B19:D19"/>
    <mergeCell ref="A22:D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2026-07-15T14:17:32Z</dcterms:created>
  <dc:creator>openpyxl</dc:creator>
  <dc:description/>
  <dc:language>en-US</dc:language>
  <cp:lastModifiedBy/>
  <dcterms:modified xsi:type="dcterms:W3CDTF">2026-07-15T14:19:29Z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