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3-Year Mode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<sst xmlns="http://schemas.openxmlformats.org/spreadsheetml/2006/main" count="74" uniqueCount="70">
  <si>
    <t xml:space="preserve">3-Year Benefit Calculation Model — Assumptions</t>
  </si>
  <si>
    <t xml:space="preserve">Financial Assumptions</t>
  </si>
  <si>
    <t xml:space="preserve">Annual discount rate (cost of capital)</t>
  </si>
  <si>
    <t xml:space="preserve">Used to compute NPV of net benefits</t>
  </si>
  <si>
    <t xml:space="preserve">Annual cost escalation rate</t>
  </si>
  <si>
    <t xml:space="preserve">Applied to recurring/operating costs each year</t>
  </si>
  <si>
    <t xml:space="preserve">Benefit Realization Ramp-Up (% of full run-rate benefit achieved)</t>
  </si>
  <si>
    <t xml:space="preserve">Year 1 realization %</t>
  </si>
  <si>
    <t xml:space="preserve">Year 2 realization %</t>
  </si>
  <si>
    <t xml:space="preserve">Year 3 realization %</t>
  </si>
  <si>
    <t xml:space="preserve">→ Adjust these if benefit adoption ramps up over time (typical for process/tech rollouts)</t>
  </si>
  <si>
    <t xml:space="preserve">Cost Inputs (Year 1 base; escalates in later years)</t>
  </si>
  <si>
    <t xml:space="preserve">One-time implementation cost (Year 1 only)</t>
  </si>
  <si>
    <t xml:space="preserve">Capex / setup / migration cost, incurred once</t>
  </si>
  <si>
    <t xml:space="preserve">Recurring operating cost per year (Year 1 base)</t>
  </si>
  <si>
    <t xml:space="preserve">License, infra, support cost; escalates by cost escalation rate in Yr2/3</t>
  </si>
  <si>
    <t xml:space="preserve">Additional FTE / headcount cost per year</t>
  </si>
  <si>
    <t xml:space="preserve">Optional - leave 0 if not applicable</t>
  </si>
  <si>
    <t xml:space="preserve">Benefit Inputs (steady-state / full run-rate, ANNUAL)</t>
  </si>
  <si>
    <t xml:space="preserve">Cost savings (annual, at full run-rate)</t>
  </si>
  <si>
    <t xml:space="preserve">e.g. reduced manual effort, lower error/fraud losses, infra savings</t>
  </si>
  <si>
    <t xml:space="preserve">Revenue uplift / productivity gain (annual, at full run-rate)</t>
  </si>
  <si>
    <t xml:space="preserve">e.g. faster processing, more throughput, new capability</t>
  </si>
  <si>
    <t xml:space="preserve">Risk reduction benefit (annual, at full run-rate)</t>
  </si>
  <si>
    <t xml:space="preserve">e.g. avoided losses, compliance penalty avoidance</t>
  </si>
  <si>
    <t xml:space="preserve">3-Year Benefit Calculation Model</t>
  </si>
  <si>
    <t xml:space="preserve">($ unless noted)</t>
  </si>
  <si>
    <t xml:space="preserve">Line Item</t>
  </si>
  <si>
    <t xml:space="preserve">Year 1</t>
  </si>
  <si>
    <t xml:space="preserve">Year 2</t>
  </si>
  <si>
    <t xml:space="preserve">Year 3</t>
  </si>
  <si>
    <t xml:space="preserve">3-Year Total</t>
  </si>
  <si>
    <t xml:space="preserve">COSTS</t>
  </si>
  <si>
    <t xml:space="preserve">One-time implementation cost</t>
  </si>
  <si>
    <t xml:space="preserve">Recurring operating cost (escalated)</t>
  </si>
  <si>
    <t xml:space="preserve">Additional FTE / headcount cost (escalated)</t>
  </si>
  <si>
    <t xml:space="preserve">Total Costs</t>
  </si>
  <si>
    <t xml:space="preserve">BENEFITS</t>
  </si>
  <si>
    <t xml:space="preserve">Cost savings</t>
  </si>
  <si>
    <t xml:space="preserve">Revenue uplift / productivity gain</t>
  </si>
  <si>
    <t xml:space="preserve">Risk reduction benefit</t>
  </si>
  <si>
    <t xml:space="preserve">Total Benefits</t>
  </si>
  <si>
    <t xml:space="preserve">Net Benefit (Benefits – Costs)</t>
  </si>
  <si>
    <t xml:space="preserve">Cumulative Net Benefit</t>
  </si>
  <si>
    <t xml:space="preserve">DISCOUNTING &amp; NPV</t>
  </si>
  <si>
    <t xml:space="preserve">Discount factor (annual)</t>
  </si>
  <si>
    <t xml:space="preserve">Discounted Net Benefit</t>
  </si>
  <si>
    <t xml:space="preserve">Cumulative Discounted Net Benefit (running NPV)</t>
  </si>
  <si>
    <t xml:space="preserve">Summary &amp; Key Outputs</t>
  </si>
  <si>
    <t xml:space="preserve">Metric</t>
  </si>
  <si>
    <t xml:space="preserve">Value</t>
  </si>
  <si>
    <t xml:space="preserve">Notes</t>
  </si>
  <si>
    <t xml:space="preserve">Total Cost (3 years)</t>
  </si>
  <si>
    <t xml:space="preserve">Sum of implementation + recurring + headcount costs</t>
  </si>
  <si>
    <t xml:space="preserve">Total Benefit (3 years)</t>
  </si>
  <si>
    <t xml:space="preserve">Sum of all benefit categories across 3 years</t>
  </si>
  <si>
    <t xml:space="preserve">Total Net Benefit (3 years, undiscounted)</t>
  </si>
  <si>
    <t xml:space="preserve">Total Benefit – Total Cost</t>
  </si>
  <si>
    <t xml:space="preserve">NPV of Net Benefit (discounted)</t>
  </si>
  <si>
    <t xml:space="preserve">Discounted at the annual rate set in Assumptions</t>
  </si>
  <si>
    <t xml:space="preserve">ROI % (3-year)</t>
  </si>
  <si>
    <t xml:space="preserve">Net Benefit ÷ Total Cost</t>
  </si>
  <si>
    <t xml:space="preserve">Benefit-Cost Ratio</t>
  </si>
  <si>
    <t xml:space="preserve">Total Benefit ÷ Total Cost</t>
  </si>
  <si>
    <t xml:space="preserve">Payback Period</t>
  </si>
  <si>
    <t xml:space="preserve">Payback period (years, undiscounted cumulative)</t>
  </si>
  <si>
    <t xml:space="preserve">Full years where cumulative net benefit stayed negative, plus fraction of the next year needed to reach breakeven</t>
  </si>
  <si>
    <t xml:space="preserve">Year-by-Year Breakdown</t>
  </si>
  <si>
    <t xml:space="preserve">Year</t>
  </si>
  <si>
    <t xml:space="preserve">Net Benefit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</si>
</sst>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;&quot;($&quot;#,##0\);\-"/>
    <numFmt numFmtId="167" formatCode="0.0000"/>
    <numFmt numFmtId="168" formatCode="0.00\x"/>
    <numFmt numFmtId="169" formatCode="0.0&quot; years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0" t="s">
        <v>2</v>
      </c>
      <c r="B4" s="3" t="n">
        <v>0.1</v>
      </c>
      <c r="C4" s="4" t="s">
        <v>3</v>
      </c>
    </row>
    <row r="5" customFormat="false" ht="15" hidden="false" customHeight="false" outlineLevel="0" collapsed="false">
      <c r="A5" s="0" t="s">
        <v>4</v>
      </c>
      <c r="B5" s="3" t="n">
        <v>0.03</v>
      </c>
      <c r="C5" s="4" t="s">
        <v>5</v>
      </c>
    </row>
    <row r="7" customFormat="false" ht="15" hidden="false" customHeight="false" outlineLevel="0" collapsed="false">
      <c r="A7" s="2" t="s">
        <v>6</v>
      </c>
      <c r="B7" s="2"/>
      <c r="C7" s="2"/>
    </row>
    <row r="8" customFormat="false" ht="15" hidden="false" customHeight="false" outlineLevel="0" collapsed="false">
      <c r="A8" s="0" t="s">
        <v>7</v>
      </c>
      <c r="B8" s="3" t="n">
        <v>0.4</v>
      </c>
    </row>
    <row r="9" customFormat="false" ht="15" hidden="false" customHeight="false" outlineLevel="0" collapsed="false">
      <c r="A9" s="0" t="s">
        <v>8</v>
      </c>
      <c r="B9" s="3" t="n">
        <v>0.75</v>
      </c>
    </row>
    <row r="10" customFormat="false" ht="15" hidden="false" customHeight="false" outlineLevel="0" collapsed="false">
      <c r="A10" s="0" t="s">
        <v>9</v>
      </c>
      <c r="B10" s="3" t="n">
        <v>1</v>
      </c>
    </row>
    <row r="11" customFormat="false" ht="15" hidden="false" customHeight="false" outlineLevel="0" collapsed="false">
      <c r="A11" s="4" t="s">
        <v>10</v>
      </c>
    </row>
    <row r="13" customFormat="false" ht="15" hidden="false" customHeight="false" outlineLevel="0" collapsed="false">
      <c r="A13" s="2" t="s">
        <v>11</v>
      </c>
      <c r="B13" s="2"/>
      <c r="C13" s="2"/>
    </row>
    <row r="14" customFormat="false" ht="15" hidden="false" customHeight="false" outlineLevel="0" collapsed="false">
      <c r="A14" s="0" t="s">
        <v>12</v>
      </c>
      <c r="B14" s="5" t="n">
        <v>500000</v>
      </c>
      <c r="C14" s="4" t="s">
        <v>13</v>
      </c>
    </row>
    <row r="15" customFormat="false" ht="15" hidden="false" customHeight="false" outlineLevel="0" collapsed="false">
      <c r="A15" s="0" t="s">
        <v>14</v>
      </c>
      <c r="B15" s="5" t="n">
        <v>160000</v>
      </c>
      <c r="C15" s="4" t="s">
        <v>15</v>
      </c>
    </row>
    <row r="16" customFormat="false" ht="15" hidden="false" customHeight="false" outlineLevel="0" collapsed="false">
      <c r="A16" s="0" t="s">
        <v>16</v>
      </c>
      <c r="B16" s="5" t="n">
        <v>0</v>
      </c>
      <c r="C16" s="4" t="s">
        <v>17</v>
      </c>
    </row>
    <row r="18" customFormat="false" ht="15" hidden="false" customHeight="false" outlineLevel="0" collapsed="false">
      <c r="A18" s="2" t="s">
        <v>18</v>
      </c>
      <c r="B18" s="2"/>
      <c r="C18" s="2"/>
    </row>
    <row r="19" customFormat="false" ht="15" hidden="false" customHeight="false" outlineLevel="0" collapsed="false">
      <c r="A19" s="0" t="s">
        <v>19</v>
      </c>
      <c r="B19" s="5" t="n">
        <v>800000</v>
      </c>
      <c r="C19" s="4" t="s">
        <v>20</v>
      </c>
    </row>
    <row r="20" customFormat="false" ht="15" hidden="false" customHeight="false" outlineLevel="0" collapsed="false">
      <c r="A20" s="0" t="s">
        <v>21</v>
      </c>
      <c r="B20" s="5" t="n">
        <v>300000</v>
      </c>
      <c r="C20" s="4" t="s">
        <v>22</v>
      </c>
    </row>
    <row r="21" customFormat="false" ht="15" hidden="false" customHeight="false" outlineLevel="0" collapsed="false">
      <c r="A21" s="0" t="s">
        <v>23</v>
      </c>
      <c r="B21" s="5" t="n">
        <v>150000</v>
      </c>
      <c r="C21" s="4" t="s">
        <v>24</v>
      </c>
    </row>
  </sheetData>
  <mergeCells count="5">
    <mergeCell ref="A1:C1"/>
    <mergeCell ref="A3:C3"/>
    <mergeCell ref="A7:C7"/>
    <mergeCell ref="A13:C13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26</v>
      </c>
    </row>
    <row r="4" customFormat="false" ht="15" hidden="false" customHeight="false" outlineLevel="0" collapsed="false">
      <c r="A4" s="6" t="s">
        <v>27</v>
      </c>
      <c r="B4" s="7" t="s">
        <v>28</v>
      </c>
      <c r="C4" s="7" t="s">
        <v>29</v>
      </c>
      <c r="D4" s="7" t="s">
        <v>30</v>
      </c>
      <c r="E4" s="7" t="s">
        <v>31</v>
      </c>
    </row>
    <row r="6" customFormat="false" ht="15" hidden="false" customHeight="false" outlineLevel="0" collapsed="false">
      <c r="A6" s="8" t="s">
        <v>32</v>
      </c>
      <c r="B6" s="9"/>
      <c r="C6" s="9"/>
      <c r="D6" s="9"/>
      <c r="E6" s="9"/>
    </row>
    <row r="7" customFormat="false" ht="15" hidden="false" customHeight="false" outlineLevel="0" collapsed="false">
      <c r="A7" s="0" t="s">
        <v>33</v>
      </c>
      <c r="B7" s="10" t="n">
        <f aca="false">Assumptions!$B$14</f>
        <v>500000</v>
      </c>
      <c r="C7" s="10" t="n">
        <v>0</v>
      </c>
      <c r="D7" s="10" t="n">
        <v>0</v>
      </c>
      <c r="E7" s="11" t="n">
        <f aca="false">SUM(B7:D7)</f>
        <v>500000</v>
      </c>
    </row>
    <row r="8" customFormat="false" ht="15" hidden="false" customHeight="false" outlineLevel="0" collapsed="false">
      <c r="A8" s="0" t="s">
        <v>34</v>
      </c>
      <c r="B8" s="10" t="n">
        <f aca="false">Assumptions!$B$15*1</f>
        <v>160000</v>
      </c>
      <c r="C8" s="10" t="n">
        <f aca="false">Assumptions!$B$15*(1+Assumptions!$B$5)</f>
        <v>164800</v>
      </c>
      <c r="D8" s="10" t="n">
        <f aca="false">Assumptions!$B$15*(1+Assumptions!$B$5)^2</f>
        <v>169744</v>
      </c>
      <c r="E8" s="11" t="n">
        <f aca="false">SUM(B8:D8)</f>
        <v>494544</v>
      </c>
    </row>
    <row r="9" customFormat="false" ht="15" hidden="false" customHeight="false" outlineLevel="0" collapsed="false">
      <c r="A9" s="0" t="s">
        <v>35</v>
      </c>
      <c r="B9" s="10" t="n">
        <f aca="false">Assumptions!$B$16*1</f>
        <v>0</v>
      </c>
      <c r="C9" s="10" t="n">
        <f aca="false">Assumptions!$B$16*(1+Assumptions!$B$5)</f>
        <v>0</v>
      </c>
      <c r="D9" s="10" t="n">
        <f aca="false">Assumptions!$B$16*(1+Assumptions!$B$5)^2</f>
        <v>0</v>
      </c>
      <c r="E9" s="11" t="n">
        <f aca="false">SUM(B9:D9)</f>
        <v>0</v>
      </c>
    </row>
    <row r="10" customFormat="false" ht="15" hidden="false" customHeight="false" outlineLevel="0" collapsed="false">
      <c r="A10" s="12" t="s">
        <v>36</v>
      </c>
      <c r="B10" s="13" t="n">
        <f aca="false">SUM(B7:B9)</f>
        <v>660000</v>
      </c>
      <c r="C10" s="13" t="n">
        <f aca="false">SUM(C7:C9)</f>
        <v>164800</v>
      </c>
      <c r="D10" s="13" t="n">
        <f aca="false">SUM(D7:D9)</f>
        <v>169744</v>
      </c>
      <c r="E10" s="13" t="n">
        <f aca="false">SUM(B10:D10)</f>
        <v>994544</v>
      </c>
    </row>
    <row r="12" customFormat="false" ht="15" hidden="false" customHeight="false" outlineLevel="0" collapsed="false">
      <c r="A12" s="8" t="s">
        <v>37</v>
      </c>
      <c r="B12" s="9"/>
      <c r="C12" s="9"/>
      <c r="D12" s="9"/>
      <c r="E12" s="9"/>
    </row>
    <row r="13" customFormat="false" ht="15" hidden="false" customHeight="false" outlineLevel="0" collapsed="false">
      <c r="A13" s="0" t="s">
        <v>38</v>
      </c>
      <c r="B13" s="10" t="n">
        <f aca="false">Assumptions!$B$19*Assumptions!$B$8</f>
        <v>320000</v>
      </c>
      <c r="C13" s="10" t="n">
        <f aca="false">Assumptions!$B$19*Assumptions!$B$9</f>
        <v>600000</v>
      </c>
      <c r="D13" s="10" t="n">
        <f aca="false">Assumptions!$B$19*Assumptions!$B$10</f>
        <v>800000</v>
      </c>
      <c r="E13" s="11" t="n">
        <f aca="false">SUM(B13:D13)</f>
        <v>1720000</v>
      </c>
    </row>
    <row r="14" customFormat="false" ht="15" hidden="false" customHeight="false" outlineLevel="0" collapsed="false">
      <c r="A14" s="0" t="s">
        <v>39</v>
      </c>
      <c r="B14" s="10" t="n">
        <f aca="false">Assumptions!$B$20*Assumptions!$B$8</f>
        <v>120000</v>
      </c>
      <c r="C14" s="10" t="n">
        <f aca="false">Assumptions!$B$20*Assumptions!$B$9</f>
        <v>225000</v>
      </c>
      <c r="D14" s="10" t="n">
        <f aca="false">Assumptions!$B$20*Assumptions!$B$10</f>
        <v>300000</v>
      </c>
      <c r="E14" s="11" t="n">
        <f aca="false">SUM(B14:D14)</f>
        <v>645000</v>
      </c>
    </row>
    <row r="15" customFormat="false" ht="15" hidden="false" customHeight="false" outlineLevel="0" collapsed="false">
      <c r="A15" s="0" t="s">
        <v>40</v>
      </c>
      <c r="B15" s="10" t="n">
        <f aca="false">Assumptions!$B$21*Assumptions!$B$8</f>
        <v>60000</v>
      </c>
      <c r="C15" s="10" t="n">
        <f aca="false">Assumptions!$B$21*Assumptions!$B$9</f>
        <v>112500</v>
      </c>
      <c r="D15" s="10" t="n">
        <f aca="false">Assumptions!$B$21*Assumptions!$B$10</f>
        <v>150000</v>
      </c>
      <c r="E15" s="11" t="n">
        <f aca="false">SUM(B15:D15)</f>
        <v>322500</v>
      </c>
    </row>
    <row r="16" customFormat="false" ht="15" hidden="false" customHeight="false" outlineLevel="0" collapsed="false">
      <c r="A16" s="12" t="s">
        <v>41</v>
      </c>
      <c r="B16" s="13" t="n">
        <f aca="false">SUM(B13:B15)</f>
        <v>500000</v>
      </c>
      <c r="C16" s="13" t="n">
        <f aca="false">SUM(C13:C15)</f>
        <v>937500</v>
      </c>
      <c r="D16" s="13" t="n">
        <f aca="false">SUM(D13:D15)</f>
        <v>1250000</v>
      </c>
      <c r="E16" s="13" t="n">
        <f aca="false">SUM(B16:D16)</f>
        <v>2687500</v>
      </c>
    </row>
    <row r="18" customFormat="false" ht="15" hidden="false" customHeight="false" outlineLevel="0" collapsed="false">
      <c r="A18" s="14" t="s">
        <v>42</v>
      </c>
      <c r="B18" s="15" t="n">
        <f aca="false">B16-B10</f>
        <v>-160000</v>
      </c>
      <c r="C18" s="15" t="n">
        <f aca="false">C16-C10</f>
        <v>772700</v>
      </c>
      <c r="D18" s="15" t="n">
        <f aca="false">D16-D10</f>
        <v>1080256</v>
      </c>
      <c r="E18" s="15" t="n">
        <f aca="false">SUM(B18:D18)</f>
        <v>1692956</v>
      </c>
    </row>
    <row r="19" customFormat="false" ht="15" hidden="false" customHeight="false" outlineLevel="0" collapsed="false">
      <c r="A19" s="0" t="s">
        <v>43</v>
      </c>
      <c r="B19" s="11" t="n">
        <f aca="false">B18</f>
        <v>-160000</v>
      </c>
      <c r="C19" s="11" t="n">
        <f aca="false">B19+C18</f>
        <v>612700</v>
      </c>
      <c r="D19" s="11" t="n">
        <f aca="false">C19+D18</f>
        <v>1692956</v>
      </c>
      <c r="E19" s="13" t="n">
        <f aca="false">D19</f>
        <v>1692956</v>
      </c>
    </row>
    <row r="21" customFormat="false" ht="15" hidden="false" customHeight="false" outlineLevel="0" collapsed="false">
      <c r="A21" s="8" t="s">
        <v>44</v>
      </c>
      <c r="B21" s="9"/>
      <c r="C21" s="9"/>
      <c r="D21" s="9"/>
      <c r="E21" s="9"/>
    </row>
    <row r="22" customFormat="false" ht="15" hidden="false" customHeight="false" outlineLevel="0" collapsed="false">
      <c r="A22" s="0" t="s">
        <v>45</v>
      </c>
      <c r="B22" s="16" t="n">
        <f aca="false">1/(1+Assumptions!$B$4)^1</f>
        <v>0.909090909090909</v>
      </c>
      <c r="C22" s="16" t="n">
        <f aca="false">1/(1+Assumptions!$B$4)^2</f>
        <v>0.826446280991735</v>
      </c>
      <c r="D22" s="16" t="n">
        <f aca="false">1/(1+Assumptions!$B$4)^3</f>
        <v>0.751314800901578</v>
      </c>
    </row>
    <row r="23" customFormat="false" ht="15" hidden="false" customHeight="false" outlineLevel="0" collapsed="false">
      <c r="A23" s="0" t="s">
        <v>46</v>
      </c>
      <c r="B23" s="11" t="n">
        <f aca="false">B18*B22</f>
        <v>-145454.545454545</v>
      </c>
      <c r="C23" s="11" t="n">
        <f aca="false">C18*C22</f>
        <v>638595.041322314</v>
      </c>
      <c r="D23" s="11" t="n">
        <f aca="false">D18*D22</f>
        <v>811612.321562735</v>
      </c>
      <c r="E23" s="13" t="n">
        <f aca="false">SUM(B23:D23)</f>
        <v>1304752.8174305</v>
      </c>
    </row>
    <row r="24" customFormat="false" ht="15" hidden="false" customHeight="false" outlineLevel="0" collapsed="false">
      <c r="A24" s="14" t="s">
        <v>47</v>
      </c>
      <c r="B24" s="15" t="n">
        <f aca="false">B23</f>
        <v>-145454.545454545</v>
      </c>
      <c r="C24" s="15" t="n">
        <f aca="false">B24+C23</f>
        <v>493140.495867769</v>
      </c>
      <c r="D24" s="15" t="n">
        <f aca="false">C24+D23</f>
        <v>1304752.8174305</v>
      </c>
      <c r="E24" s="15" t="n">
        <f aca="false">D24</f>
        <v>1304752.8174305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48</v>
      </c>
      <c r="B1" s="1"/>
      <c r="C1" s="1"/>
    </row>
    <row r="3" customFormat="false" ht="15" hidden="false" customHeight="false" outlineLevel="0" collapsed="false">
      <c r="A3" s="17" t="s">
        <v>49</v>
      </c>
      <c r="B3" s="17" t="s">
        <v>50</v>
      </c>
      <c r="C3" s="17" t="s">
        <v>51</v>
      </c>
    </row>
    <row r="4" customFormat="false" ht="15" hidden="false" customHeight="false" outlineLevel="0" collapsed="false">
      <c r="A4" s="0" t="s">
        <v>52</v>
      </c>
      <c r="B4" s="18" t="n">
        <f aca="false">'3-Year Model'!E10</f>
        <v>994544</v>
      </c>
      <c r="C4" s="4" t="s">
        <v>53</v>
      </c>
    </row>
    <row r="5" customFormat="false" ht="15" hidden="false" customHeight="false" outlineLevel="0" collapsed="false">
      <c r="A5" s="0" t="s">
        <v>54</v>
      </c>
      <c r="B5" s="18" t="n">
        <f aca="false">'3-Year Model'!E16</f>
        <v>2687500</v>
      </c>
      <c r="C5" s="4" t="s">
        <v>55</v>
      </c>
    </row>
    <row r="6" customFormat="false" ht="15" hidden="false" customHeight="false" outlineLevel="0" collapsed="false">
      <c r="A6" s="0" t="s">
        <v>56</v>
      </c>
      <c r="B6" s="18" t="n">
        <f aca="false">'3-Year Model'!E18</f>
        <v>1692956</v>
      </c>
      <c r="C6" s="4" t="s">
        <v>57</v>
      </c>
    </row>
    <row r="7" customFormat="false" ht="15" hidden="false" customHeight="false" outlineLevel="0" collapsed="false">
      <c r="A7" s="0" t="s">
        <v>58</v>
      </c>
      <c r="B7" s="18" t="n">
        <f aca="false">'3-Year Model'!E24</f>
        <v>1304752.8174305</v>
      </c>
      <c r="C7" s="4" t="s">
        <v>59</v>
      </c>
    </row>
    <row r="8" customFormat="false" ht="15" hidden="false" customHeight="false" outlineLevel="0" collapsed="false">
      <c r="A8" s="0" t="s">
        <v>60</v>
      </c>
      <c r="B8" s="19" t="n">
        <f aca="false">B6/B4</f>
        <v>1.70224344020978</v>
      </c>
      <c r="C8" s="4" t="s">
        <v>61</v>
      </c>
    </row>
    <row r="9" customFormat="false" ht="15" hidden="false" customHeight="false" outlineLevel="0" collapsed="false">
      <c r="A9" s="0" t="s">
        <v>62</v>
      </c>
      <c r="B9" s="20" t="n">
        <f aca="false">B5/B4</f>
        <v>2.70224344020979</v>
      </c>
      <c r="C9" s="4" t="s">
        <v>63</v>
      </c>
    </row>
    <row r="11" customFormat="false" ht="15" hidden="false" customHeight="false" outlineLevel="0" collapsed="false">
      <c r="A11" s="21" t="s">
        <v>64</v>
      </c>
      <c r="B11" s="21"/>
      <c r="C11" s="21"/>
    </row>
    <row r="12" customFormat="false" ht="15" hidden="false" customHeight="false" outlineLevel="0" collapsed="false">
      <c r="A12" s="0" t="s">
        <v>65</v>
      </c>
      <c r="B12" s="22" t="n">
        <f aca="false">SUMPRODUCT(--('3-Year Model'!B19:D19&lt;=0))+IF(SUMPRODUCT(--('3-Year Model'!B19:D19&lt;=0))&lt;3,-INDEX('3-Year Model'!B19:D19,SUMPRODUCT(--('3-Year Model'!B19:D19&lt;=0)))/INDEX('3-Year Model'!B18:D18,SUMPRODUCT(--('3-Year Model'!B19:D19&lt;=0))+1),0)</f>
        <v>1.20706613174583</v>
      </c>
      <c r="C12" s="4" t="s">
        <v>66</v>
      </c>
    </row>
    <row r="14" customFormat="false" ht="15" hidden="false" customHeight="false" outlineLevel="0" collapsed="false">
      <c r="A14" s="21" t="s">
        <v>67</v>
      </c>
      <c r="B14" s="21"/>
      <c r="C14" s="21"/>
    </row>
    <row r="15" customFormat="false" ht="15" hidden="false" customHeight="false" outlineLevel="0" collapsed="false">
      <c r="A15" s="23" t="s">
        <v>68</v>
      </c>
      <c r="B15" s="23" t="s">
        <v>69</v>
      </c>
      <c r="C15" s="23" t="s">
        <v>43</v>
      </c>
    </row>
    <row r="16" customFormat="false" ht="15" hidden="false" customHeight="false" outlineLevel="0" collapsed="false">
      <c r="A16" s="0" t="s">
        <v>28</v>
      </c>
      <c r="B16" s="24" t="n">
        <f aca="false">'3-Year Model'!B18</f>
        <v>-160000</v>
      </c>
      <c r="C16" s="24" t="n">
        <f aca="false">'3-Year Model'!B19</f>
        <v>-160000</v>
      </c>
    </row>
    <row r="17" customFormat="false" ht="15" hidden="false" customHeight="false" outlineLevel="0" collapsed="false">
      <c r="A17" s="0" t="s">
        <v>29</v>
      </c>
      <c r="B17" s="24" t="n">
        <f aca="false">'3-Year Model'!C18</f>
        <v>772700</v>
      </c>
      <c r="C17" s="24" t="n">
        <f aca="false">'3-Year Model'!C19</f>
        <v>612700</v>
      </c>
    </row>
    <row r="18" customFormat="false" ht="15" hidden="false" customHeight="false" outlineLevel="0" collapsed="false">
      <c r="A18" s="0" t="s">
        <v>30</v>
      </c>
      <c r="B18" s="24" t="n">
        <f aca="false">'3-Year Model'!D18</f>
        <v>1080256</v>
      </c>
      <c r="C18" s="24" t="n">
        <f aca="false">'3-Year Model'!D19</f>
        <v>1692956</v>
      </c>
    </row>
  </sheetData>
  <mergeCells count="3">
    <mergeCell ref="A1:C1"/>
    <mergeCell ref="A11:C1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2026-07-09T12:03:41Z</dcterms:created>
  <dc:creator>openpyxl</dc:creator>
  <dc:description/>
  <dc:language>en-US</dc:language>
  <cp:lastModifiedBy/>
  <dcterms:modified xsi:type="dcterms:W3CDTF">2026-07-09T12:04:45Z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