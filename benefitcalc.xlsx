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OOC_Benefit" sheetId="3" state="visible" r:id="rId5"/>
    <sheet name="DepositFull_Benefit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<sst xmlns="http://schemas.openxmlformats.org/spreadsheetml/2006/main" count="119" uniqueCount="97">
  <si>
    <t xml:space="preserve">ATM Recycling — Benefit Quantification Model</t>
  </si>
  <si>
    <t xml:space="preserve">Purpose</t>
  </si>
  <si>
    <t xml:space="preserve">Quantifies the annual $ benefit of converting cash-dispense-only ATMs to cash-recycling ATMs, based on two avoidance mechanisms: (1) avoided out-of-cash (OOC) events, and (2) avoided deposit-full events.</t>
  </si>
  <si>
    <t xml:space="preserve">How the logic works</t>
  </si>
  <si>
    <t xml:space="preserve">Recycling ATMs reuse customer cash deposits to fund withdrawals from the same cassette set. This lowers net cash-out burn (fewer/later OOC events) and lowers deposit-module fill rate (fewer/later deposit-full events), because deposited notes are continuously recirculated instead of sitting in a separate module until a CIT pickup.</t>
  </si>
  <si>
    <t xml:space="preserve">Sheets in this workbook</t>
  </si>
  <si>
    <t xml:space="preserve">Assumptions</t>
  </si>
  <si>
    <t xml:space="preserve">All editable inputs — fleet size, baseline vs. recycling event rates, and cost components per event. Yellow cells = your inputs.</t>
  </si>
  <si>
    <t xml:space="preserve">OOC_Benefit</t>
  </si>
  <si>
    <t xml:space="preserve">Quantifies annual $ benefit from avoided out-of-cash events.</t>
  </si>
  <si>
    <t xml:space="preserve">DepositFull_Benefit</t>
  </si>
  <si>
    <t xml:space="preserve">Quantifies annual $ benefit from avoided deposit-full events.</t>
  </si>
  <si>
    <t xml:space="preserve">Summary</t>
  </si>
  <si>
    <t xml:space="preserve">Combines both benefit streams, nets against conversion cost, and computes payback / 3-yr ROI.</t>
  </si>
  <si>
    <t xml:space="preserve">Color legend</t>
  </si>
  <si>
    <t xml:space="preserve">Yellow fill, blue text</t>
  </si>
  <si>
    <t xml:space="preserve">Input — edit these. Every other cell is a live formula; do not overwrite.</t>
  </si>
  <si>
    <t xml:space="preserve">Black text</t>
  </si>
  <si>
    <t xml:space="preserve">Formula, calculated within the same sheet.</t>
  </si>
  <si>
    <t xml:space="preserve">Green text</t>
  </si>
  <si>
    <t xml:space="preserve">Formula linking to another sheet.</t>
  </si>
  <si>
    <t xml:space="preserve">Example values</t>
  </si>
  <si>
    <t xml:space="preserve">Illustrative starting values are pre-filled in the Assumptions sheet (typical ranges seen in fleet cash-management studies). Replace them with your own fleet's observed OOC/deposit-full rates and cost figures before relying on the output.</t>
  </si>
  <si>
    <t xml:space="preserve">Note on cost figures</t>
  </si>
  <si>
    <t xml:space="preserve">All per-event cost figures (fee income lost, emergency CIT trip cost, dissatisfaction/reputational cost) are placeholders you supply — no external benchmark is cited. Replace with your organization's actual finance/ops figures where available.</t>
  </si>
  <si>
    <t xml:space="preserve">Key Assumptions &amp; Inputs</t>
  </si>
  <si>
    <t xml:space="preserve">Edit only the yellow cells. All figures are per-ATM-per-month unless stated otherwise.</t>
  </si>
  <si>
    <t xml:space="preserve">A. Fleet Parameters</t>
  </si>
  <si>
    <t xml:space="preserve">Value</t>
  </si>
  <si>
    <t xml:space="preserve">Unit</t>
  </si>
  <si>
    <t xml:space="preserve">Number of ATMs converted to recycling</t>
  </si>
  <si>
    <t xml:space="preserve">ATMs</t>
  </si>
  <si>
    <t xml:space="preserve">Analysis period</t>
  </si>
  <si>
    <t xml:space="preserve">months</t>
  </si>
  <si>
    <t xml:space="preserve">Conversion cost per ATM (capex/opex, one-time)</t>
  </si>
  <si>
    <t xml:space="preserve">$ per ATM</t>
  </si>
  <si>
    <t xml:space="preserve">B. Out-of-Cash (OOC) Event Parameters</t>
  </si>
  <si>
    <t xml:space="preserve">Baseline (Non-Recycling)</t>
  </si>
  <si>
    <t xml:space="preserve">Recycling</t>
  </si>
  <si>
    <t xml:space="preserve">OOC events per ATM per month</t>
  </si>
  <si>
    <t xml:space="preserve">events/ATM/month</t>
  </si>
  <si>
    <t xml:space="preserve">Avg. transactions lost per OOC event (until replenished)</t>
  </si>
  <si>
    <t xml:space="preserve">txns/event (same for both — applied to reduced event count)</t>
  </si>
  <si>
    <t xml:space="preserve">Avg. fee / interchange income per withdrawal txn</t>
  </si>
  <si>
    <t xml:space="preserve">$/txn</t>
  </si>
  <si>
    <t xml:space="preserve">Emergency CIT replenishment cost per OOC event</t>
  </si>
  <si>
    <t xml:space="preserve">$/event</t>
  </si>
  <si>
    <t xml:space="preserve">Customer dissatisfaction / reputational cost per OOC event</t>
  </si>
  <si>
    <t xml:space="preserve">$/event (proxy — churn risk, complaint handling, brand cost)</t>
  </si>
  <si>
    <t xml:space="preserve">C. Deposit-Full Event Parameters</t>
  </si>
  <si>
    <t xml:space="preserve">Deposit-full events per ATM per month</t>
  </si>
  <si>
    <t xml:space="preserve">Avg. deposit transactions rejected/redirected per event</t>
  </si>
  <si>
    <t xml:space="preserve">txns/event</t>
  </si>
  <si>
    <t xml:space="preserve">Avg. fee income per deposit txn (lost when redirected)</t>
  </si>
  <si>
    <t xml:space="preserve">$/txn (set to 0 if deposits are fee-free)</t>
  </si>
  <si>
    <t xml:space="preserve">Emergency CIT pickup cost per deposit-full event</t>
  </si>
  <si>
    <t xml:space="preserve">Customer dissatisfaction / reputational cost per deposit-full event</t>
  </si>
  <si>
    <t xml:space="preserve">$/event (proxy)</t>
  </si>
  <si>
    <t xml:space="preserve">Benefit from Avoided Out-of-Cash (OOC) Events</t>
  </si>
  <si>
    <t xml:space="preserve">All inputs are linked (green) from the Assumptions sheet. Nothing here needs editing.</t>
  </si>
  <si>
    <t xml:space="preserve">1. Cost per OOC Event (cost structure — same whether baseline or recycling)</t>
  </si>
  <si>
    <t xml:space="preserve">Fee/interchange income lost (txns lost x fee per txn)</t>
  </si>
  <si>
    <t xml:space="preserve">Emergency CIT replenishment cost</t>
  </si>
  <si>
    <t xml:space="preserve">Customer dissatisfaction / reputational cost</t>
  </si>
  <si>
    <t xml:space="preserve">Total cost per OOC event</t>
  </si>
  <si>
    <t xml:space="preserve">2. Monthly &amp; Annual Benefit (per ATM, then fleet-wide)</t>
  </si>
  <si>
    <t xml:space="preserve">Reduction / Benefit</t>
  </si>
  <si>
    <t xml:space="preserve">Cost per event ($)</t>
  </si>
  <si>
    <t xml:space="preserve">Monthly cost per ATM</t>
  </si>
  <si>
    <t xml:space="preserve">Annual cost per ATM (x analysis period)</t>
  </si>
  <si>
    <t xml:space="preserve">Fleet-wide annual cost (x number of ATMs)</t>
  </si>
  <si>
    <t xml:space="preserve">3. Result</t>
  </si>
  <si>
    <t xml:space="preserve">Annual $ Benefit — Avoided OOC Events (fleet-wide)</t>
  </si>
  <si>
    <t xml:space="preserve">Benefit from Avoided Deposit-Full Events</t>
  </si>
  <si>
    <t xml:space="preserve">1. Cost per Deposit-Full Event</t>
  </si>
  <si>
    <t xml:space="preserve">Fee income lost (deposit txns redirected x fee per txn)</t>
  </si>
  <si>
    <t xml:space="preserve">Emergency CIT pickup cost</t>
  </si>
  <si>
    <t xml:space="preserve">Total cost per deposit-full event</t>
  </si>
  <si>
    <t xml:space="preserve">Annual $ Benefit — Avoided Deposit-Full Events (fleet-wide)</t>
  </si>
  <si>
    <t xml:space="preserve">ATM Recycling — Combined Benefit Summary</t>
  </si>
  <si>
    <t xml:space="preserve">Pulls results from OOC_Benefit and DepositFull_Benefit sheets. Edit Assumptions sheet only.</t>
  </si>
  <si>
    <t xml:space="preserve">1. Annual Benefit by Avoidance Category (fleet-wide)</t>
  </si>
  <si>
    <t xml:space="preserve">Annual $ Benefit</t>
  </si>
  <si>
    <t xml:space="preserve">Avoided out-of-cash (OOC) events</t>
  </si>
  <si>
    <t xml:space="preserve">Avoided deposit-full events</t>
  </si>
  <si>
    <t xml:space="preserve">Total annual benefit</t>
  </si>
  <si>
    <t xml:space="preserve">2. Investment Case</t>
  </si>
  <si>
    <t xml:space="preserve">Number of ATMs converted</t>
  </si>
  <si>
    <t xml:space="preserve">Conversion cost per ATM</t>
  </si>
  <si>
    <t xml:space="preserve">Total fleet conversion cost</t>
  </si>
  <si>
    <t xml:space="preserve">Simple payback period</t>
  </si>
  <si>
    <t xml:space="preserve">Year 1 net benefit (benefit less conversion cost)</t>
  </si>
  <si>
    <t xml:space="preserve">3-year net benefit (recurring benefit x3, less one-time conversion cost)</t>
  </si>
  <si>
    <t xml:space="preserve">3-year ROI (%)</t>
  </si>
  <si>
    <t xml:space="preserve">3. Headline Result</t>
  </si>
  <si>
    <t xml:space="preserve">Total Annual $ Benefit of Recycling Conversion</t>
  </si>
  <si>
    <t xml:space="preserve">Benefit is a modeled avoidance value: (baseline event rate − recycling event rate) x cost per event x fleet size x period, summed across the OOC and deposit-full streams. It assumes the recycling event rates on the Assumptions sheet are achieved in practice — validate against pilot-fleet data once available.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</si>
</sst>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#,##0.0;\(#,##0.0\);\-"/>
    <numFmt numFmtId="168" formatCode="\$#,##0.00;&quot;($&quot;#,##0.00\);\-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3" customFormat="false" ht="23.85" hidden="false" customHeight="false" outlineLevel="0" collapsed="false">
      <c r="A3" s="2" t="s">
        <v>1</v>
      </c>
      <c r="B3" s="3" t="s">
        <v>2</v>
      </c>
    </row>
    <row r="5" customFormat="false" ht="46.25" hidden="false" customHeight="false" outlineLevel="0" collapsed="false">
      <c r="A5" s="2" t="s">
        <v>3</v>
      </c>
      <c r="B5" s="3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2" t="s">
        <v>6</v>
      </c>
      <c r="B8" s="3" t="s">
        <v>7</v>
      </c>
    </row>
    <row r="9" customFormat="false" ht="15" hidden="false" customHeight="false" outlineLevel="0" collapsed="false">
      <c r="A9" s="2" t="s">
        <v>8</v>
      </c>
      <c r="B9" s="3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3" customFormat="false" ht="15" hidden="false" customHeight="false" outlineLevel="0" collapsed="false">
      <c r="A13" s="2" t="s">
        <v>14</v>
      </c>
    </row>
    <row r="14" customFormat="false" ht="15" hidden="false" customHeight="false" outlineLevel="0" collapsed="false">
      <c r="A14" s="2" t="s">
        <v>15</v>
      </c>
      <c r="B14" s="3" t="s">
        <v>16</v>
      </c>
    </row>
    <row r="15" customFormat="false" ht="15" hidden="false" customHeight="false" outlineLevel="0" collapsed="false">
      <c r="A15" s="2" t="s">
        <v>17</v>
      </c>
      <c r="B15" s="3" t="s">
        <v>18</v>
      </c>
    </row>
    <row r="16" customFormat="false" ht="15" hidden="false" customHeight="false" outlineLevel="0" collapsed="false">
      <c r="A16" s="2" t="s">
        <v>19</v>
      </c>
      <c r="B16" s="3" t="s">
        <v>20</v>
      </c>
    </row>
    <row r="18" customFormat="false" ht="35.05" hidden="false" customHeight="false" outlineLevel="0" collapsed="false">
      <c r="A18" s="2" t="s">
        <v>21</v>
      </c>
      <c r="B18" s="3" t="s">
        <v>22</v>
      </c>
    </row>
    <row r="20" customFormat="false" ht="35.05" hidden="false" customHeight="false" outlineLevel="0" collapsed="false">
      <c r="A20" s="2" t="s">
        <v>23</v>
      </c>
      <c r="B20" s="3" t="s">
        <v>24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46"/>
  </cols>
  <sheetData>
    <row r="1" customFormat="false" ht="25.5" hidden="false" customHeight="true" outlineLevel="0" collapsed="false">
      <c r="A1" s="1" t="s">
        <v>25</v>
      </c>
      <c r="B1" s="1"/>
      <c r="C1" s="1"/>
      <c r="D1" s="1"/>
    </row>
    <row r="2" customFormat="false" ht="22.35" hidden="false" customHeight="false" outlineLevel="0" collapsed="false">
      <c r="A2" s="4" t="s">
        <v>26</v>
      </c>
    </row>
    <row r="4" customFormat="false" ht="19.5" hidden="false" customHeight="true" outlineLevel="0" collapsed="false">
      <c r="A4" s="5" t="s">
        <v>27</v>
      </c>
      <c r="B4" s="5"/>
      <c r="C4" s="5"/>
      <c r="D4" s="5"/>
    </row>
    <row r="5" customFormat="false" ht="15" hidden="false" customHeight="false" outlineLevel="0" collapsed="false">
      <c r="B5" s="6" t="s">
        <v>28</v>
      </c>
      <c r="C5" s="6" t="s">
        <v>29</v>
      </c>
    </row>
    <row r="6" customFormat="false" ht="15" hidden="false" customHeight="false" outlineLevel="0" collapsed="false">
      <c r="A6" s="3" t="s">
        <v>30</v>
      </c>
      <c r="B6" s="7" t="n">
        <v>100</v>
      </c>
      <c r="C6" s="3" t="s">
        <v>31</v>
      </c>
    </row>
    <row r="7" customFormat="false" ht="15" hidden="false" customHeight="false" outlineLevel="0" collapsed="false">
      <c r="A7" s="3" t="s">
        <v>32</v>
      </c>
      <c r="B7" s="7" t="n">
        <v>12</v>
      </c>
      <c r="C7" s="3" t="s">
        <v>33</v>
      </c>
    </row>
    <row r="8" customFormat="false" ht="15" hidden="false" customHeight="false" outlineLevel="0" collapsed="false">
      <c r="A8" s="3" t="s">
        <v>34</v>
      </c>
      <c r="B8" s="8" t="n">
        <v>350000</v>
      </c>
      <c r="C8" s="3" t="s">
        <v>35</v>
      </c>
    </row>
    <row r="10" customFormat="false" ht="19.5" hidden="false" customHeight="true" outlineLevel="0" collapsed="false">
      <c r="A10" s="5" t="s">
        <v>36</v>
      </c>
      <c r="B10" s="5"/>
      <c r="C10" s="5"/>
      <c r="D10" s="5"/>
    </row>
    <row r="11" customFormat="false" ht="23.85" hidden="false" customHeight="false" outlineLevel="0" collapsed="false">
      <c r="B11" s="6" t="s">
        <v>37</v>
      </c>
      <c r="C11" s="6" t="s">
        <v>38</v>
      </c>
      <c r="D11" s="6" t="s">
        <v>29</v>
      </c>
    </row>
    <row r="12" customFormat="false" ht="15" hidden="false" customHeight="false" outlineLevel="0" collapsed="false">
      <c r="A12" s="3" t="s">
        <v>39</v>
      </c>
      <c r="B12" s="9" t="n">
        <v>1.2</v>
      </c>
      <c r="C12" s="9" t="n">
        <v>0.3</v>
      </c>
      <c r="D12" s="3" t="s">
        <v>40</v>
      </c>
    </row>
    <row r="13" customFormat="false" ht="23.85" hidden="false" customHeight="false" outlineLevel="0" collapsed="false">
      <c r="A13" s="3" t="s">
        <v>41</v>
      </c>
      <c r="B13" s="7" t="n">
        <v>45</v>
      </c>
      <c r="D13" s="3" t="s">
        <v>42</v>
      </c>
    </row>
    <row r="14" customFormat="false" ht="15" hidden="false" customHeight="false" outlineLevel="0" collapsed="false">
      <c r="A14" s="3" t="s">
        <v>43</v>
      </c>
      <c r="B14" s="10" t="n">
        <v>18</v>
      </c>
      <c r="D14" s="3" t="s">
        <v>44</v>
      </c>
    </row>
    <row r="15" customFormat="false" ht="15" hidden="false" customHeight="false" outlineLevel="0" collapsed="false">
      <c r="A15" s="3" t="s">
        <v>45</v>
      </c>
      <c r="B15" s="8" t="n">
        <v>2500</v>
      </c>
      <c r="D15" s="3" t="s">
        <v>46</v>
      </c>
    </row>
    <row r="16" customFormat="false" ht="23.85" hidden="false" customHeight="false" outlineLevel="0" collapsed="false">
      <c r="A16" s="3" t="s">
        <v>47</v>
      </c>
      <c r="B16" s="8" t="n">
        <v>150</v>
      </c>
      <c r="D16" s="3" t="s">
        <v>48</v>
      </c>
    </row>
    <row r="18" customFormat="false" ht="19.5" hidden="false" customHeight="true" outlineLevel="0" collapsed="false">
      <c r="A18" s="5" t="s">
        <v>49</v>
      </c>
      <c r="B18" s="5"/>
      <c r="C18" s="5"/>
      <c r="D18" s="5"/>
    </row>
    <row r="19" customFormat="false" ht="23.85" hidden="false" customHeight="false" outlineLevel="0" collapsed="false">
      <c r="B19" s="6" t="s">
        <v>37</v>
      </c>
      <c r="C19" s="6" t="s">
        <v>38</v>
      </c>
      <c r="D19" s="6" t="s">
        <v>29</v>
      </c>
    </row>
    <row r="20" customFormat="false" ht="15" hidden="false" customHeight="false" outlineLevel="0" collapsed="false">
      <c r="A20" s="3" t="s">
        <v>50</v>
      </c>
      <c r="B20" s="9" t="n">
        <v>0.8</v>
      </c>
      <c r="C20" s="9" t="n">
        <v>0.15</v>
      </c>
      <c r="D20" s="3" t="s">
        <v>40</v>
      </c>
    </row>
    <row r="21" customFormat="false" ht="15" hidden="false" customHeight="false" outlineLevel="0" collapsed="false">
      <c r="A21" s="3" t="s">
        <v>51</v>
      </c>
      <c r="B21" s="7" t="n">
        <v>20</v>
      </c>
      <c r="D21" s="3" t="s">
        <v>52</v>
      </c>
    </row>
    <row r="22" customFormat="false" ht="15" hidden="false" customHeight="false" outlineLevel="0" collapsed="false">
      <c r="A22" s="3" t="s">
        <v>53</v>
      </c>
      <c r="B22" s="10" t="n">
        <v>5</v>
      </c>
      <c r="D22" s="3" t="s">
        <v>54</v>
      </c>
    </row>
    <row r="23" customFormat="false" ht="15" hidden="false" customHeight="false" outlineLevel="0" collapsed="false">
      <c r="A23" s="3" t="s">
        <v>55</v>
      </c>
      <c r="B23" s="8" t="n">
        <v>2500</v>
      </c>
      <c r="D23" s="3" t="s">
        <v>46</v>
      </c>
    </row>
    <row r="24" customFormat="false" ht="23.85" hidden="false" customHeight="false" outlineLevel="0" collapsed="false">
      <c r="A24" s="3" t="s">
        <v>56</v>
      </c>
      <c r="B24" s="8" t="n">
        <v>150</v>
      </c>
      <c r="D24" s="3" t="s">
        <v>57</v>
      </c>
    </row>
  </sheetData>
  <mergeCells count="4">
    <mergeCell ref="A1:D1"/>
    <mergeCell ref="A4:D4"/>
    <mergeCell ref="A10:D10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</cols>
  <sheetData>
    <row r="1" customFormat="false" ht="25.5" hidden="false" customHeight="true" outlineLevel="0" collapsed="false">
      <c r="A1" s="1" t="s">
        <v>58</v>
      </c>
      <c r="B1" s="1"/>
      <c r="C1" s="1"/>
      <c r="D1" s="1"/>
    </row>
    <row r="2" customFormat="false" ht="22.35" hidden="false" customHeight="false" outlineLevel="0" collapsed="false">
      <c r="A2" s="4" t="s">
        <v>59</v>
      </c>
    </row>
    <row r="4" customFormat="false" ht="19.5" hidden="false" customHeight="true" outlineLevel="0" collapsed="false">
      <c r="A4" s="5" t="s">
        <v>60</v>
      </c>
      <c r="B4" s="5"/>
      <c r="C4" s="5"/>
      <c r="D4" s="5"/>
    </row>
    <row r="5" customFormat="false" ht="15" hidden="false" customHeight="false" outlineLevel="0" collapsed="false">
      <c r="A5" s="3" t="s">
        <v>61</v>
      </c>
      <c r="B5" s="11" t="n">
        <f aca="false">Assumptions!$B$13*Assumptions!$B$14</f>
        <v>810</v>
      </c>
    </row>
    <row r="6" customFormat="false" ht="15" hidden="false" customHeight="false" outlineLevel="0" collapsed="false">
      <c r="A6" s="3" t="s">
        <v>62</v>
      </c>
      <c r="B6" s="12" t="n">
        <f aca="false">Assumptions!$B$15</f>
        <v>2500</v>
      </c>
    </row>
    <row r="7" customFormat="false" ht="15" hidden="false" customHeight="false" outlineLevel="0" collapsed="false">
      <c r="A7" s="3" t="s">
        <v>63</v>
      </c>
      <c r="B7" s="12" t="n">
        <f aca="false">Assumptions!$B$16</f>
        <v>150</v>
      </c>
    </row>
    <row r="8" customFormat="false" ht="15" hidden="false" customHeight="false" outlineLevel="0" collapsed="false">
      <c r="A8" s="2" t="s">
        <v>64</v>
      </c>
      <c r="B8" s="13" t="n">
        <f aca="false">B5+B6+B7</f>
        <v>3460</v>
      </c>
    </row>
    <row r="10" customFormat="false" ht="19.5" hidden="false" customHeight="true" outlineLevel="0" collapsed="false">
      <c r="A10" s="5" t="s">
        <v>65</v>
      </c>
      <c r="B10" s="5"/>
      <c r="C10" s="5"/>
      <c r="D10" s="5"/>
    </row>
    <row r="11" customFormat="false" ht="23.85" hidden="false" customHeight="false" outlineLevel="0" collapsed="false">
      <c r="B11" s="6" t="s">
        <v>37</v>
      </c>
      <c r="C11" s="6" t="s">
        <v>38</v>
      </c>
      <c r="D11" s="6" t="s">
        <v>66</v>
      </c>
    </row>
    <row r="12" customFormat="false" ht="15" hidden="false" customHeight="false" outlineLevel="0" collapsed="false">
      <c r="A12" s="3" t="s">
        <v>39</v>
      </c>
      <c r="B12" s="14" t="n">
        <f aca="false">Assumptions!$B$12</f>
        <v>1.2</v>
      </c>
      <c r="C12" s="14" t="n">
        <f aca="false">Assumptions!$C$12</f>
        <v>0.3</v>
      </c>
      <c r="D12" s="15" t="n">
        <f aca="false">B12-C12</f>
        <v>0.9</v>
      </c>
    </row>
    <row r="13" customFormat="false" ht="15" hidden="false" customHeight="false" outlineLevel="0" collapsed="false">
      <c r="A13" s="3" t="s">
        <v>67</v>
      </c>
      <c r="B13" s="16" t="n">
        <f aca="false">$B$8</f>
        <v>3460</v>
      </c>
      <c r="C13" s="16" t="n">
        <f aca="false">$B$8</f>
        <v>3460</v>
      </c>
    </row>
    <row r="14" customFormat="false" ht="15" hidden="false" customHeight="false" outlineLevel="0" collapsed="false">
      <c r="A14" s="3" t="s">
        <v>68</v>
      </c>
      <c r="B14" s="16" t="n">
        <f aca="false">B12*B13</f>
        <v>4152</v>
      </c>
      <c r="C14" s="16" t="n">
        <f aca="false">C12*C13</f>
        <v>1038</v>
      </c>
      <c r="D14" s="16" t="n">
        <f aca="false">B14-C14</f>
        <v>3114</v>
      </c>
    </row>
    <row r="15" customFormat="false" ht="15" hidden="false" customHeight="false" outlineLevel="0" collapsed="false">
      <c r="A15" s="3" t="s">
        <v>69</v>
      </c>
      <c r="B15" s="16" t="n">
        <f aca="false">B14*Assumptions!$B$7</f>
        <v>49824</v>
      </c>
      <c r="C15" s="16" t="n">
        <f aca="false">C14*Assumptions!$B$7</f>
        <v>12456</v>
      </c>
      <c r="D15" s="16" t="n">
        <f aca="false">B15-C15</f>
        <v>37368</v>
      </c>
    </row>
    <row r="16" customFormat="false" ht="15" hidden="false" customHeight="false" outlineLevel="0" collapsed="false">
      <c r="A16" s="2" t="s">
        <v>70</v>
      </c>
      <c r="B16" s="17" t="n">
        <f aca="false">B15*Assumptions!$B$6</f>
        <v>4982400</v>
      </c>
      <c r="C16" s="17" t="n">
        <f aca="false">C15*Assumptions!$B$6</f>
        <v>1245600</v>
      </c>
      <c r="D16" s="18" t="n">
        <f aca="false">B16-C16</f>
        <v>3736800</v>
      </c>
    </row>
    <row r="18" customFormat="false" ht="19.5" hidden="false" customHeight="true" outlineLevel="0" collapsed="false">
      <c r="A18" s="5" t="s">
        <v>71</v>
      </c>
      <c r="B18" s="5"/>
      <c r="C18" s="5"/>
      <c r="D18" s="5"/>
    </row>
    <row r="19" customFormat="false" ht="15" hidden="false" customHeight="false" outlineLevel="0" collapsed="false">
      <c r="A19" s="2" t="s">
        <v>72</v>
      </c>
      <c r="B19" s="18" t="n">
        <f aca="false">D16</f>
        <v>3736800</v>
      </c>
      <c r="C19" s="18"/>
      <c r="D19" s="18"/>
    </row>
  </sheetData>
  <mergeCells count="5">
    <mergeCell ref="A1:D1"/>
    <mergeCell ref="A4:D4"/>
    <mergeCell ref="A10:D10"/>
    <mergeCell ref="A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</cols>
  <sheetData>
    <row r="1" customFormat="false" ht="25.5" hidden="false" customHeight="true" outlineLevel="0" collapsed="false">
      <c r="A1" s="1" t="s">
        <v>73</v>
      </c>
      <c r="B1" s="1"/>
      <c r="C1" s="1"/>
      <c r="D1" s="1"/>
    </row>
    <row r="2" customFormat="false" ht="22.35" hidden="false" customHeight="false" outlineLevel="0" collapsed="false">
      <c r="A2" s="4" t="s">
        <v>59</v>
      </c>
    </row>
    <row r="4" customFormat="false" ht="19.5" hidden="false" customHeight="true" outlineLevel="0" collapsed="false">
      <c r="A4" s="5" t="s">
        <v>74</v>
      </c>
      <c r="B4" s="5"/>
      <c r="C4" s="5"/>
      <c r="D4" s="5"/>
    </row>
    <row r="5" customFormat="false" ht="15" hidden="false" customHeight="false" outlineLevel="0" collapsed="false">
      <c r="A5" s="3" t="s">
        <v>75</v>
      </c>
      <c r="B5" s="11" t="n">
        <f aca="false">Assumptions!$B$21*Assumptions!$B$22</f>
        <v>100</v>
      </c>
    </row>
    <row r="6" customFormat="false" ht="15" hidden="false" customHeight="false" outlineLevel="0" collapsed="false">
      <c r="A6" s="3" t="s">
        <v>76</v>
      </c>
      <c r="B6" s="12" t="n">
        <f aca="false">Assumptions!$B$23</f>
        <v>2500</v>
      </c>
    </row>
    <row r="7" customFormat="false" ht="15" hidden="false" customHeight="false" outlineLevel="0" collapsed="false">
      <c r="A7" s="3" t="s">
        <v>63</v>
      </c>
      <c r="B7" s="12" t="n">
        <f aca="false">Assumptions!$B$24</f>
        <v>150</v>
      </c>
    </row>
    <row r="8" customFormat="false" ht="15" hidden="false" customHeight="false" outlineLevel="0" collapsed="false">
      <c r="A8" s="2" t="s">
        <v>77</v>
      </c>
      <c r="B8" s="13" t="n">
        <f aca="false">B5+B6+B7</f>
        <v>2750</v>
      </c>
    </row>
    <row r="10" customFormat="false" ht="19.5" hidden="false" customHeight="true" outlineLevel="0" collapsed="false">
      <c r="A10" s="5" t="s">
        <v>65</v>
      </c>
      <c r="B10" s="5"/>
      <c r="C10" s="5"/>
      <c r="D10" s="5"/>
    </row>
    <row r="11" customFormat="false" ht="23.85" hidden="false" customHeight="false" outlineLevel="0" collapsed="false">
      <c r="B11" s="6" t="s">
        <v>37</v>
      </c>
      <c r="C11" s="6" t="s">
        <v>38</v>
      </c>
      <c r="D11" s="6" t="s">
        <v>66</v>
      </c>
    </row>
    <row r="12" customFormat="false" ht="15" hidden="false" customHeight="false" outlineLevel="0" collapsed="false">
      <c r="A12" s="3" t="s">
        <v>50</v>
      </c>
      <c r="B12" s="14" t="n">
        <f aca="false">Assumptions!$B$20</f>
        <v>0.8</v>
      </c>
      <c r="C12" s="14" t="n">
        <f aca="false">Assumptions!$C$20</f>
        <v>0.15</v>
      </c>
      <c r="D12" s="15" t="n">
        <f aca="false">B12-C12</f>
        <v>0.65</v>
      </c>
    </row>
    <row r="13" customFormat="false" ht="15" hidden="false" customHeight="false" outlineLevel="0" collapsed="false">
      <c r="A13" s="3" t="s">
        <v>67</v>
      </c>
      <c r="B13" s="16" t="n">
        <f aca="false">$B$8</f>
        <v>2750</v>
      </c>
      <c r="C13" s="16" t="n">
        <f aca="false">$B$8</f>
        <v>2750</v>
      </c>
    </row>
    <row r="14" customFormat="false" ht="15" hidden="false" customHeight="false" outlineLevel="0" collapsed="false">
      <c r="A14" s="3" t="s">
        <v>68</v>
      </c>
      <c r="B14" s="16" t="n">
        <f aca="false">B12*B13</f>
        <v>2200</v>
      </c>
      <c r="C14" s="16" t="n">
        <f aca="false">C12*C13</f>
        <v>412.5</v>
      </c>
      <c r="D14" s="16" t="n">
        <f aca="false">B14-C14</f>
        <v>1787.5</v>
      </c>
    </row>
    <row r="15" customFormat="false" ht="15" hidden="false" customHeight="false" outlineLevel="0" collapsed="false">
      <c r="A15" s="3" t="s">
        <v>69</v>
      </c>
      <c r="B15" s="16" t="n">
        <f aca="false">B14*Assumptions!$B$7</f>
        <v>26400</v>
      </c>
      <c r="C15" s="16" t="n">
        <f aca="false">C14*Assumptions!$B$7</f>
        <v>4950</v>
      </c>
      <c r="D15" s="16" t="n">
        <f aca="false">B15-C15</f>
        <v>21450</v>
      </c>
    </row>
    <row r="16" customFormat="false" ht="15" hidden="false" customHeight="false" outlineLevel="0" collapsed="false">
      <c r="A16" s="2" t="s">
        <v>70</v>
      </c>
      <c r="B16" s="17" t="n">
        <f aca="false">B15*Assumptions!$B$6</f>
        <v>2640000</v>
      </c>
      <c r="C16" s="17" t="n">
        <f aca="false">C15*Assumptions!$B$6</f>
        <v>495000</v>
      </c>
      <c r="D16" s="18" t="n">
        <f aca="false">B16-C16</f>
        <v>2145000</v>
      </c>
    </row>
    <row r="18" customFormat="false" ht="19.5" hidden="false" customHeight="true" outlineLevel="0" collapsed="false">
      <c r="A18" s="5" t="s">
        <v>71</v>
      </c>
      <c r="B18" s="5"/>
      <c r="C18" s="5"/>
      <c r="D18" s="5"/>
    </row>
    <row r="19" customFormat="false" ht="23.85" hidden="false" customHeight="false" outlineLevel="0" collapsed="false">
      <c r="A19" s="2" t="s">
        <v>78</v>
      </c>
      <c r="B19" s="18" t="n">
        <f aca="false">D16</f>
        <v>2145000</v>
      </c>
      <c r="C19" s="18"/>
      <c r="D19" s="18"/>
    </row>
  </sheetData>
  <mergeCells count="5">
    <mergeCell ref="A1:D1"/>
    <mergeCell ref="A4:D4"/>
    <mergeCell ref="A10:D10"/>
    <mergeCell ref="A18:D18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</cols>
  <sheetData>
    <row r="1" customFormat="false" ht="25.5" hidden="false" customHeight="true" outlineLevel="0" collapsed="false">
      <c r="A1" s="1" t="s">
        <v>79</v>
      </c>
      <c r="B1" s="1"/>
      <c r="C1" s="1"/>
      <c r="D1" s="1"/>
    </row>
    <row r="2" customFormat="false" ht="22.35" hidden="false" customHeight="false" outlineLevel="0" collapsed="false">
      <c r="A2" s="4" t="s">
        <v>80</v>
      </c>
    </row>
    <row r="4" customFormat="false" ht="19.5" hidden="false" customHeight="true" outlineLevel="0" collapsed="false">
      <c r="A4" s="5" t="s">
        <v>81</v>
      </c>
      <c r="B4" s="5"/>
      <c r="C4" s="5"/>
      <c r="D4" s="5"/>
    </row>
    <row r="5" customFormat="false" ht="15" hidden="false" customHeight="false" outlineLevel="0" collapsed="false">
      <c r="B5" s="6" t="s">
        <v>82</v>
      </c>
    </row>
    <row r="6" customFormat="false" ht="15" hidden="false" customHeight="false" outlineLevel="0" collapsed="false">
      <c r="A6" s="3" t="s">
        <v>83</v>
      </c>
      <c r="B6" s="12" t="n">
        <f aca="false">OOC_Benefit!$B$19</f>
        <v>3736800</v>
      </c>
    </row>
    <row r="7" customFormat="false" ht="15" hidden="false" customHeight="false" outlineLevel="0" collapsed="false">
      <c r="A7" s="3" t="s">
        <v>84</v>
      </c>
      <c r="B7" s="12" t="n">
        <f aca="false">DepositFull_Benefit!$B$19</f>
        <v>2145000</v>
      </c>
    </row>
    <row r="8" customFormat="false" ht="15" hidden="false" customHeight="false" outlineLevel="0" collapsed="false">
      <c r="A8" s="2" t="s">
        <v>85</v>
      </c>
      <c r="B8" s="18" t="n">
        <f aca="false">B6+B7</f>
        <v>5881800</v>
      </c>
    </row>
    <row r="10" customFormat="false" ht="19.5" hidden="false" customHeight="true" outlineLevel="0" collapsed="false">
      <c r="A10" s="5" t="s">
        <v>86</v>
      </c>
      <c r="B10" s="5"/>
      <c r="C10" s="5"/>
      <c r="D10" s="5"/>
    </row>
    <row r="11" customFormat="false" ht="15" hidden="false" customHeight="false" outlineLevel="0" collapsed="false">
      <c r="A11" s="3" t="s">
        <v>87</v>
      </c>
      <c r="B11" s="19" t="n">
        <f aca="false">Assumptions!$B$6</f>
        <v>100</v>
      </c>
    </row>
    <row r="12" customFormat="false" ht="15" hidden="false" customHeight="false" outlineLevel="0" collapsed="false">
      <c r="A12" s="3" t="s">
        <v>88</v>
      </c>
      <c r="B12" s="12" t="n">
        <f aca="false">Assumptions!$B$8</f>
        <v>350000</v>
      </c>
    </row>
    <row r="13" customFormat="false" ht="15" hidden="false" customHeight="false" outlineLevel="0" collapsed="false">
      <c r="A13" s="3" t="s">
        <v>89</v>
      </c>
      <c r="B13" s="17" t="n">
        <f aca="false">Assumptions!$B$6*Assumptions!$B$8</f>
        <v>35000000</v>
      </c>
    </row>
    <row r="14" customFormat="false" ht="15" hidden="false" customHeight="false" outlineLevel="0" collapsed="false">
      <c r="A14" s="2" t="s">
        <v>90</v>
      </c>
      <c r="B14" s="20" t="n">
        <f aca="false">B13/(B8/12)</f>
        <v>71.4067122309497</v>
      </c>
      <c r="C14" s="3" t="s">
        <v>33</v>
      </c>
    </row>
    <row r="15" customFormat="false" ht="15" hidden="false" customHeight="false" outlineLevel="0" collapsed="false">
      <c r="A15" s="3" t="s">
        <v>91</v>
      </c>
      <c r="B15" s="16" t="n">
        <f aca="false">B8-B13</f>
        <v>-29118200</v>
      </c>
    </row>
    <row r="16" customFormat="false" ht="23.85" hidden="false" customHeight="false" outlineLevel="0" collapsed="false">
      <c r="A16" s="2" t="s">
        <v>92</v>
      </c>
      <c r="B16" s="18" t="n">
        <f aca="false">(B8*3)-B13</f>
        <v>-17354600</v>
      </c>
    </row>
    <row r="17" customFormat="false" ht="15" hidden="false" customHeight="false" outlineLevel="0" collapsed="false">
      <c r="A17" s="2" t="s">
        <v>93</v>
      </c>
      <c r="B17" s="21" t="n">
        <f aca="false">B16/B13</f>
        <v>-0.495845714285714</v>
      </c>
    </row>
    <row r="19" customFormat="false" ht="19.5" hidden="false" customHeight="true" outlineLevel="0" collapsed="false">
      <c r="A19" s="5" t="s">
        <v>94</v>
      </c>
      <c r="B19" s="5"/>
      <c r="C19" s="5"/>
      <c r="D19" s="5"/>
    </row>
    <row r="20" customFormat="false" ht="24" hidden="false" customHeight="true" outlineLevel="0" collapsed="false">
      <c r="A20" s="2" t="s">
        <v>95</v>
      </c>
      <c r="B20" s="22" t="n">
        <f aca="false">B8</f>
        <v>5881800</v>
      </c>
      <c r="C20" s="22"/>
      <c r="D20" s="22"/>
    </row>
    <row r="22" customFormat="false" ht="15" hidden="false" customHeight="true" outlineLevel="0" collapsed="false">
      <c r="A22" s="23" t="s">
        <v>96</v>
      </c>
      <c r="B22" s="23"/>
      <c r="C22" s="23"/>
      <c r="D22" s="23"/>
    </row>
    <row r="23" customFormat="false" ht="15" hidden="false" customHeight="false" outlineLevel="0" collapsed="false">
      <c r="A23" s="23"/>
      <c r="B23" s="23"/>
      <c r="C23" s="23"/>
      <c r="D23" s="23"/>
    </row>
    <row r="24" customFormat="false" ht="15" hidden="false" customHeight="false" outlineLevel="0" collapsed="false">
      <c r="A24" s="23"/>
      <c r="B24" s="23"/>
      <c r="C24" s="23"/>
      <c r="D24" s="23"/>
    </row>
  </sheetData>
  <mergeCells count="6">
    <mergeCell ref="A1:D1"/>
    <mergeCell ref="A4:D4"/>
    <mergeCell ref="A10:D10"/>
    <mergeCell ref="A19:D19"/>
    <mergeCell ref="B20:D20"/>
    <mergeCell ref="A22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2026-07-15T08:25:39Z</dcterms:created>
  <dc:creator>openpyxl</dc:creator>
  <dc:description/>
  <dc:language>en-US</dc:language>
  <cp:lastModifiedBy/>
  <dcterms:modified xsi:type="dcterms:W3CDTF">2026-07-15T08:27:15Z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