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inFull_Benef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<sst xmlns="http://schemas.openxmlformats.org/spreadsheetml/2006/main" count="63" uniqueCount="62">
  <si>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t xml:space="preserve">Deposit Bin-Full Event — Benefit Quantification: Assumptions</t>
  </si>
  <si>
    <t xml:space="preserve">Primary driver modeled: recycling cannibalization (bin-full blocks redispense capacity, forcing extra CIT cash-in trips)</t>
  </si>
  <si>
    <t xml:space="preserve">1. Event Frequency</t>
  </si>
  <si>
    <t xml:space="preserve">Bin-full events per month (fleet-wide)</t>
  </si>
  <si>
    <t xml:space="preserve">User input — count across the fleet; source from FLM/incident logs.</t>
  </si>
  <si>
    <t xml:space="preserve">Bin-full events per year</t>
  </si>
  <si>
    <t xml:space="preserve">2. Recycling Cannibalization (primary benefit driver)</t>
  </si>
  <si>
    <t xml:space="preserve">Avg deposit transactions rejected/redirected per event</t>
  </si>
  <si>
    <t xml:space="preserve">Txns declined or bounced to another channel while the bin is full, until reset/evacuation.</t>
  </si>
  <si>
    <t xml:space="preserve">Avg deposit amount per transaction ($)</t>
  </si>
  <si>
    <t xml:space="preserve">Blended across retail + any business-deposit traffic at this ATM segment.</t>
  </si>
  <si>
    <t xml:space="preserve">% of deposited cash normally recycled (redispensed) vs. sent to vault</t>
  </si>
  <si>
    <t xml:space="preserve">The share of deposit volume this ATM would ordinarily reuse for dispense — this is the capacity a bin-full event destroys.</t>
  </si>
  <si>
    <t xml:space="preserve">Avg cash value delivered per CIT trip ($)</t>
  </si>
  <si>
    <t xml:space="preserve">Typical load brought in per replenishment stop — used to convert lost recycling $ into 'equivalent extra trips.'</t>
  </si>
  <si>
    <t xml:space="preserve">% of the recycling shortfall that forces an emergency (unscheduled) trip</t>
  </si>
  <si>
    <t xml:space="preserve">Remainder is assumed absorbed into the next scheduled stop, but still requires sourcing extra cash — priced at scheduled-trip cost below.</t>
  </si>
  <si>
    <t xml:space="preserve">3. CIT Trip Costs</t>
  </si>
  <si>
    <t xml:space="preserve">Cost per scheduled CIT trip ($)</t>
  </si>
  <si>
    <t xml:space="preserve">Fully-loaded cost of a normal, on-route replenishment/evacuation stop.</t>
  </si>
  <si>
    <t xml:space="preserve">Cost per emergency/unscheduled CIT trip ($)</t>
  </si>
  <si>
    <t xml:space="preserve">Off-route dispatch: overtime, mileage, carrier premium-service fee.</t>
  </si>
  <si>
    <t xml:space="preserve">4. Channel Cost-Shifting (secondary line)</t>
  </si>
  <si>
    <t xml:space="preserve">% of rejected deposits redirected to teller channel</t>
  </si>
  <si>
    <t xml:space="preserve">Remainder assumed retried later at another ATM or abandoned — no direct cost captured for those.</t>
  </si>
  <si>
    <t xml:space="preserve">Avg cost per teller-assisted deposit transaction ($)</t>
  </si>
  <si>
    <t xml:space="preserve">Source: branch ops/finance unit-cost study.</t>
  </si>
  <si>
    <t xml:space="preserve">Avg cost per ATM self-service deposit transaction ($)</t>
  </si>
  <si>
    <t xml:space="preserve">5. Complaint/Dispute Handling</t>
  </si>
  <si>
    <t xml:space="preserve">Complaint rate per bin-full event (probability a ticket is filed)</t>
  </si>
  <si>
    <t xml:space="preserve">Includes contact-center complaints, app/store reviews flagged, or Reg E-adjacent disputes.</t>
  </si>
  <si>
    <t xml:space="preserve">Avg fully-loaded cost per complaint ticket ($)</t>
  </si>
  <si>
    <t xml:space="preserve">Source: servicing/complaints team average handling cost.</t>
  </si>
  <si>
    <t xml:space="preserve">Bin-Full Event — Avoidance Benefit</t>
  </si>
  <si>
    <t xml:space="preserve">All inputs live on the Assumptions tab (yellow cells). This sheet only computes.</t>
  </si>
  <si>
    <t xml:space="preserve">Component</t>
  </si>
  <si>
    <t xml:space="preserve">Calculation</t>
  </si>
  <si>
    <t xml:space="preserve">Per Event ($)</t>
  </si>
  <si>
    <t xml:space="preserve">Annualized ($)</t>
  </si>
  <si>
    <t xml:space="preserve">Notes</t>
  </si>
  <si>
    <t xml:space="preserve">Recycling Cannibalization</t>
  </si>
  <si>
    <t xml:space="preserve">Cash volume lost to recycling per event ($)</t>
  </si>
  <si>
    <t xml:space="preserve">Rejected txns × avg deposit $ × % recycled</t>
  </si>
  <si>
    <t xml:space="preserve">Equivalent extra CIT trips per event</t>
  </si>
  <si>
    <t xml:space="preserve">Cash lost ÷ avg cash value per trip</t>
  </si>
  <si>
    <t xml:space="preserve">Emergency-trip cost impact</t>
  </si>
  <si>
    <t xml:space="preserve">Extra trips × % forced emergency × emergency trip cost</t>
  </si>
  <si>
    <t xml:space="preserve">Scheduled-equivalent cost impact</t>
  </si>
  <si>
    <t xml:space="preserve">Extra trips × (1 − % emergency) × scheduled trip cost</t>
  </si>
  <si>
    <t xml:space="preserve">Even cash absorbed into the next scheduled stop still had to be sourced and loaded — priced at scheduled-trip cost rather than treated as free.</t>
  </si>
  <si>
    <t xml:space="preserve">Subtotal: Recycling cannibalization benefit</t>
  </si>
  <si>
    <t xml:space="preserve">Channel Cost-Shifting &amp; Complaint Handling</t>
  </si>
  <si>
    <t xml:space="preserve">Channel cost-shifting benefit</t>
  </si>
  <si>
    <t xml:space="preserve">Rejected txns × % redirected to teller × (teller cost − ATM cost)</t>
  </si>
  <si>
    <t xml:space="preserve">Complaint/dispute handling benefit</t>
  </si>
  <si>
    <t xml:space="preserve">Complaint rate × cost per complaint ticket</t>
  </si>
  <si>
    <t xml:space="preserve">TOTAL BENEFIT PER AVOIDED BIN-FULL EVENT</t>
  </si>
  <si>
    <t xml:space="preserve">TOTAL ANNUALIZED BENEFIT (fleet-wide)</t>
  </si>
  <si>
    <t xml:space="preserve">Note: Recycling cannibalization (rows above) is the primary, fleet-specific benefit — it captures the fact that a bin-full</t>
  </si>
  <si>
    <t xml:space="preserve">event doesn't just block deposits, it removes redispense capacity that the recycling business case depends on to cut CIT trips.</t>
  </si>
  <si>
    <t xml:space="preserve">Cross-reference against the OOC_Benefit sheet to avoid double-counting: an unresolved bin-full event that later triggers an</t>
  </si>
  <si>
    <t xml:space="preserve">actual OOC event should be counted once, in whichever sheet reflects the realized failure mode.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</si>
</sst>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;&quot;($&quot;#,##0\);\-"/>
    <numFmt numFmtId="167" formatCode="0.0%"/>
    <numFmt numFmtId="168" formatCode="\$#,##0.00;&quot;($&quot;#,##0.00\);\-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40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f aca="false">B5*12</f>
        <v>480</v>
      </c>
    </row>
    <row r="8" customFormat="false" ht="15" hidden="false" customHeight="false" outlineLevel="0" collapsed="false">
      <c r="A8" s="3" t="s">
        <v>6</v>
      </c>
      <c r="B8" s="3"/>
      <c r="C8" s="3"/>
    </row>
    <row r="9" customFormat="false" ht="22.35" hidden="false" customHeight="false" outlineLevel="0" collapsed="false">
      <c r="A9" s="4" t="s">
        <v>7</v>
      </c>
      <c r="B9" s="5" t="n">
        <v>6</v>
      </c>
      <c r="C9" s="6" t="s">
        <v>8</v>
      </c>
    </row>
    <row r="10" customFormat="false" ht="15" hidden="false" customHeight="false" outlineLevel="0" collapsed="false">
      <c r="A10" s="4" t="s">
        <v>9</v>
      </c>
      <c r="B10" s="8" t="n">
        <v>4500</v>
      </c>
      <c r="C10" s="6" t="s">
        <v>10</v>
      </c>
    </row>
    <row r="11" customFormat="false" ht="22.35" hidden="false" customHeight="false" outlineLevel="0" collapsed="false">
      <c r="A11" s="4" t="s">
        <v>11</v>
      </c>
      <c r="B11" s="9" t="n">
        <v>0.65</v>
      </c>
      <c r="C11" s="6" t="s">
        <v>12</v>
      </c>
    </row>
    <row r="12" customFormat="false" ht="22.35" hidden="false" customHeight="false" outlineLevel="0" collapsed="false">
      <c r="A12" s="4" t="s">
        <v>13</v>
      </c>
      <c r="B12" s="8" t="n">
        <v>250000</v>
      </c>
      <c r="C12" s="6" t="s">
        <v>14</v>
      </c>
    </row>
    <row r="13" customFormat="false" ht="22.35" hidden="false" customHeight="false" outlineLevel="0" collapsed="false">
      <c r="A13" s="4" t="s">
        <v>15</v>
      </c>
      <c r="B13" s="9" t="n">
        <v>0.4</v>
      </c>
      <c r="C13" s="6" t="s">
        <v>16</v>
      </c>
    </row>
    <row r="15" customFormat="false" ht="15" hidden="false" customHeight="false" outlineLevel="0" collapsed="false">
      <c r="A15" s="3" t="s">
        <v>17</v>
      </c>
      <c r="B15" s="3"/>
      <c r="C15" s="3"/>
    </row>
    <row r="16" customFormat="false" ht="15" hidden="false" customHeight="false" outlineLevel="0" collapsed="false">
      <c r="A16" s="4" t="s">
        <v>18</v>
      </c>
      <c r="B16" s="8" t="n">
        <v>180</v>
      </c>
      <c r="C16" s="6" t="s">
        <v>19</v>
      </c>
    </row>
    <row r="17" customFormat="false" ht="15" hidden="false" customHeight="false" outlineLevel="0" collapsed="false">
      <c r="A17" s="4" t="s">
        <v>20</v>
      </c>
      <c r="B17" s="8" t="n">
        <v>450</v>
      </c>
      <c r="C17" s="6" t="s">
        <v>21</v>
      </c>
    </row>
    <row r="19" customFormat="false" ht="15" hidden="false" customHeight="false" outlineLevel="0" collapsed="false">
      <c r="A19" s="3" t="s">
        <v>22</v>
      </c>
      <c r="B19" s="3"/>
      <c r="C19" s="3"/>
    </row>
    <row r="20" customFormat="false" ht="22.35" hidden="false" customHeight="false" outlineLevel="0" collapsed="false">
      <c r="A20" s="4" t="s">
        <v>23</v>
      </c>
      <c r="B20" s="9" t="n">
        <v>0.55</v>
      </c>
      <c r="C20" s="6" t="s">
        <v>24</v>
      </c>
    </row>
    <row r="21" customFormat="false" ht="15" hidden="false" customHeight="false" outlineLevel="0" collapsed="false">
      <c r="A21" s="4" t="s">
        <v>25</v>
      </c>
      <c r="B21" s="10" t="n">
        <v>4.25</v>
      </c>
      <c r="C21" s="6" t="s">
        <v>26</v>
      </c>
    </row>
    <row r="22" customFormat="false" ht="15" hidden="false" customHeight="false" outlineLevel="0" collapsed="false">
      <c r="A22" s="4" t="s">
        <v>27</v>
      </c>
      <c r="B22" s="10" t="n">
        <v>0.35</v>
      </c>
      <c r="C22" s="6" t="s">
        <v>26</v>
      </c>
    </row>
    <row r="24" customFormat="false" ht="15" hidden="false" customHeight="false" outlineLevel="0" collapsed="false">
      <c r="A24" s="3" t="s">
        <v>28</v>
      </c>
      <c r="B24" s="3"/>
      <c r="C24" s="3"/>
    </row>
    <row r="25" customFormat="false" ht="22.35" hidden="false" customHeight="false" outlineLevel="0" collapsed="false">
      <c r="A25" s="4" t="s">
        <v>29</v>
      </c>
      <c r="B25" s="9" t="n">
        <v>0.12</v>
      </c>
      <c r="C25" s="6" t="s">
        <v>30</v>
      </c>
    </row>
    <row r="26" customFormat="false" ht="15" hidden="false" customHeight="false" outlineLevel="0" collapsed="false">
      <c r="A26" s="4" t="s">
        <v>31</v>
      </c>
      <c r="B26" s="8" t="n">
        <v>35</v>
      </c>
      <c r="C26" s="6" t="s">
        <v>32</v>
      </c>
    </row>
  </sheetData>
  <mergeCells count="5">
    <mergeCell ref="A4:C4"/>
    <mergeCell ref="A8:C8"/>
    <mergeCell ref="A15:C15"/>
    <mergeCell ref="A19:C19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11" t="s">
        <v>35</v>
      </c>
      <c r="B4" s="11" t="s">
        <v>36</v>
      </c>
      <c r="C4" s="11" t="s">
        <v>37</v>
      </c>
      <c r="D4" s="11" t="s">
        <v>38</v>
      </c>
      <c r="E4" s="11" t="s">
        <v>39</v>
      </c>
    </row>
    <row r="6" customFormat="false" ht="15" hidden="false" customHeight="false" outlineLevel="0" collapsed="false">
      <c r="A6" s="3" t="s">
        <v>40</v>
      </c>
      <c r="B6" s="3"/>
      <c r="C6" s="3"/>
      <c r="D6" s="3"/>
      <c r="E6" s="3"/>
    </row>
    <row r="7" customFormat="false" ht="15" hidden="false" customHeight="false" outlineLevel="0" collapsed="false">
      <c r="A7" s="4" t="s">
        <v>41</v>
      </c>
      <c r="B7" s="12" t="s">
        <v>42</v>
      </c>
      <c r="C7" s="13" t="n">
        <f aca="false">Assumptions!B9*Assumptions!B10*Assumptions!B11</f>
        <v>17550</v>
      </c>
      <c r="D7" s="14"/>
    </row>
    <row r="8" customFormat="false" ht="15" hidden="false" customHeight="false" outlineLevel="0" collapsed="false">
      <c r="A8" s="4" t="s">
        <v>43</v>
      </c>
      <c r="B8" s="12" t="s">
        <v>44</v>
      </c>
      <c r="C8" s="15" t="n">
        <f aca="false">C7/Assumptions!B12</f>
        <v>0.0702</v>
      </c>
      <c r="D8" s="14"/>
    </row>
    <row r="9" customFormat="false" ht="15" hidden="false" customHeight="false" outlineLevel="0" collapsed="false">
      <c r="A9" s="4" t="s">
        <v>45</v>
      </c>
      <c r="B9" s="12" t="s">
        <v>46</v>
      </c>
      <c r="C9" s="13" t="n">
        <f aca="false">C8*Assumptions!B13*Assumptions!B17</f>
        <v>12.636</v>
      </c>
      <c r="D9" s="16" t="n">
        <f aca="false">C9*Assumptions!B6</f>
        <v>6065.28</v>
      </c>
    </row>
    <row r="10" customFormat="false" ht="22.35" hidden="false" customHeight="false" outlineLevel="0" collapsed="false">
      <c r="A10" s="4" t="s">
        <v>47</v>
      </c>
      <c r="B10" s="12" t="s">
        <v>48</v>
      </c>
      <c r="C10" s="13" t="n">
        <f aca="false">C8*(1-Assumptions!B13)*Assumptions!B16</f>
        <v>7.5816</v>
      </c>
      <c r="D10" s="16" t="n">
        <f aca="false">C10*Assumptions!B6</f>
        <v>3639.168</v>
      </c>
      <c r="E10" s="6" t="s">
        <v>49</v>
      </c>
    </row>
    <row r="11" customFormat="false" ht="15" hidden="false" customHeight="false" outlineLevel="0" collapsed="false">
      <c r="A11" s="17" t="s">
        <v>50</v>
      </c>
      <c r="C11" s="18" t="n">
        <f aca="false">C9+C10</f>
        <v>20.2176</v>
      </c>
      <c r="D11" s="18" t="n">
        <f aca="false">C11*Assumptions!B6</f>
        <v>9704.448</v>
      </c>
    </row>
    <row r="13" customFormat="false" ht="15" hidden="false" customHeight="false" outlineLevel="0" collapsed="false">
      <c r="A13" s="3" t="s">
        <v>51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52</v>
      </c>
      <c r="B14" s="12" t="s">
        <v>53</v>
      </c>
      <c r="C14" s="13" t="n">
        <f aca="false">Assumptions!B9*Assumptions!B20*(Assumptions!B21-Assumptions!B22)</f>
        <v>12.87</v>
      </c>
      <c r="D14" s="16" t="n">
        <f aca="false">C14*Assumptions!B6</f>
        <v>6177.6</v>
      </c>
    </row>
    <row r="15" customFormat="false" ht="15" hidden="false" customHeight="false" outlineLevel="0" collapsed="false">
      <c r="A15" s="4" t="s">
        <v>54</v>
      </c>
      <c r="B15" s="12" t="s">
        <v>55</v>
      </c>
      <c r="C15" s="13" t="n">
        <f aca="false">Assumptions!B25*Assumptions!B26</f>
        <v>4.2</v>
      </c>
      <c r="D15" s="16" t="n">
        <f aca="false">C15*Assumptions!B6</f>
        <v>2016</v>
      </c>
    </row>
    <row r="17" customFormat="false" ht="15" hidden="false" customHeight="false" outlineLevel="0" collapsed="false">
      <c r="A17" s="11" t="s">
        <v>56</v>
      </c>
      <c r="B17" s="19"/>
      <c r="C17" s="20" t="n">
        <f aca="false">C11+C14+C15</f>
        <v>37.2876</v>
      </c>
      <c r="D17" s="20" t="n">
        <f aca="false">C17*Assumptions!B6</f>
        <v>17898.048</v>
      </c>
    </row>
    <row r="19" customFormat="false" ht="15" hidden="false" customHeight="false" outlineLevel="0" collapsed="false">
      <c r="A19" s="21" t="s">
        <v>57</v>
      </c>
      <c r="D19" s="22" t="n">
        <f aca="false">D17</f>
        <v>17898.048</v>
      </c>
    </row>
    <row r="21" customFormat="false" ht="15" hidden="false" customHeight="false" outlineLevel="0" collapsed="false">
      <c r="A21" s="2" t="s">
        <v>58</v>
      </c>
    </row>
    <row r="22" customFormat="false" ht="15" hidden="false" customHeight="false" outlineLevel="0" collapsed="false">
      <c r="A22" s="2" t="s">
        <v>59</v>
      </c>
    </row>
    <row r="23" customFormat="false" ht="15" hidden="false" customHeight="false" outlineLevel="0" collapsed="false">
      <c r="A23" s="2" t="s">
        <v>60</v>
      </c>
    </row>
    <row r="24" customFormat="false" ht="15" hidden="false" customHeight="false" outlineLevel="0" collapsed="false">
      <c r="A24" s="2" t="s">
        <v>61</v>
      </c>
    </row>
  </sheetData>
  <mergeCells count="2">
    <mergeCell ref="A6:E6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2026-07-15T14:34:26Z</dcterms:created>
  <dc:creator>openpyxl</dc:creator>
  <dc:description/>
  <dc:language>en-US</dc:language>
  <cp:lastModifiedBy/>
  <dcterms:modified xsi:type="dcterms:W3CDTF">2026-07-15T14:34:26Z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