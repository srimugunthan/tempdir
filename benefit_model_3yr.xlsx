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3-Year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<sst xmlns="http://schemas.openxmlformats.org/spreadsheetml/2006/main" count="90" uniqueCount="76">
  <si>
    <t xml:space="preserve">3-Year Benefit Calculation Model — Assumptions</t>
  </si>
  <si>
    <t xml:space="preserve">Financial Assumptions</t>
  </si>
  <si>
    <t xml:space="preserve">Annual discount rate (cost of capital)</t>
  </si>
  <si>
    <t xml:space="preserve">Used to compute NPV of net benefits</t>
  </si>
  <si>
    <t xml:space="preserve">Annual cost escalation rate</t>
  </si>
  <si>
    <t xml:space="preserve">Applied to recurring/operating costs each year</t>
  </si>
  <si>
    <t xml:space="preserve">Benefit Realization Ramp-Up (% of full run-rate benefit achieved)</t>
  </si>
  <si>
    <t xml:space="preserve">Year 1 realization %</t>
  </si>
  <si>
    <t xml:space="preserve">Year 2 realization %</t>
  </si>
  <si>
    <t xml:space="preserve">Year 3 realization %</t>
  </si>
  <si>
    <t xml:space="preserve">→ Adjust these if benefit adoption ramps up over time (typical for process/tech rollouts)</t>
  </si>
  <si>
    <t xml:space="preserve">Cost Inputs</t>
  </si>
  <si>
    <t xml:space="preserve">One-time implementation cost (Year 1, Q1)</t>
  </si>
  <si>
    <t xml:space="preserve">Capex / setup / migration cost, incurred once</t>
  </si>
  <si>
    <t xml:space="preserve">Recurring operating cost per quarter (Year 1 base)</t>
  </si>
  <si>
    <t xml:space="preserve">License, infra, support cost per quarter; escalates by cost escalation rate in Yr2/3</t>
  </si>
  <si>
    <t xml:space="preserve">Additional FTE / headcount cost per quarter</t>
  </si>
  <si>
    <t xml:space="preserve">Optional - leave 0 if not applicable</t>
  </si>
  <si>
    <t xml:space="preserve">Benefit Inputs (steady-state / full run-rate, ANNUAL)</t>
  </si>
  <si>
    <t xml:space="preserve">Cost savings (annual, at full run-rate)</t>
  </si>
  <si>
    <t xml:space="preserve">e.g. reduced manual effort, lower error/fraud losses, infra savings</t>
  </si>
  <si>
    <t xml:space="preserve">Revenue uplift / productivity gain (annual, at full run-rate)</t>
  </si>
  <si>
    <t xml:space="preserve">e.g. faster processing, more throughput, new capability</t>
  </si>
  <si>
    <t xml:space="preserve">Risk reduction benefit (annual, at full run-rate)</t>
  </si>
  <si>
    <t xml:space="preserve">e.g. avoided losses, compliance penalty avoidance</t>
  </si>
  <si>
    <t xml:space="preserve">3-Year Benefit Calculation Model</t>
  </si>
  <si>
    <t xml:space="preserve">($ unless noted)</t>
  </si>
  <si>
    <t xml:space="preserve">Year 1</t>
  </si>
  <si>
    <t xml:space="preserve">Year 2</t>
  </si>
  <si>
    <t xml:space="preserve">Year 3</t>
  </si>
  <si>
    <t xml:space="preserve">3-Year Total</t>
  </si>
  <si>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</si>
  <si>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</si>
  <si>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</si>
  <si>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</si>
  <si>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</si>
  <si>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Year Total</t>
  </si>
  <si>
    <t xml:space="preserve">COSTS</t>
  </si>
  <si>
    <t xml:space="preserve">One-time implementation cost</t>
  </si>
  <si>
    <t xml:space="preserve">Recurring operating cost (escalated)</t>
  </si>
  <si>
    <t xml:space="preserve">Additional FTE / headcount cost (escalated)</t>
  </si>
  <si>
    <t xml:space="preserve">Total Costs</t>
  </si>
  <si>
    <t xml:space="preserve">BENEFITS</t>
  </si>
  <si>
    <t xml:space="preserve">Cost savings</t>
  </si>
  <si>
    <t xml:space="preserve">Revenue uplift / productivity gain</t>
  </si>
  <si>
    <t xml:space="preserve">Risk reduction benefit</t>
  </si>
  <si>
    <t xml:space="preserve">Total Benefits</t>
  </si>
  <si>
    <t xml:space="preserve">Net Benefit (Benefits – Costs)</t>
  </si>
  <si>
    <t xml:space="preserve">Cumulative Net Benefit</t>
  </si>
  <si>
    <t xml:space="preserve">DISCOUNTING &amp; NPV</t>
  </si>
  <si>
    <t xml:space="preserve">Discount factor (quarterly)</t>
  </si>
  <si>
    <t xml:space="preserve">Discounted Net Benefit</t>
  </si>
  <si>
    <t xml:space="preserve">Cumulative Discounted Net Benefit (running NPV)</t>
  </si>
  <si>
    <t xml:space="preserve">Summary &amp; Key Outputs</t>
  </si>
  <si>
    <t xml:space="preserve">Metric</t>
  </si>
  <si>
    <t xml:space="preserve">Value</t>
  </si>
  <si>
    <t xml:space="preserve">Notes</t>
  </si>
  <si>
    <t xml:space="preserve">Total Cost (3 years)</t>
  </si>
  <si>
    <t xml:space="preserve">Sum of implementation + recurring + headcount costs</t>
  </si>
  <si>
    <t xml:space="preserve">Total Benefit (3 years)</t>
  </si>
  <si>
    <t xml:space="preserve">Sum of all benefit categories across 3 years</t>
  </si>
  <si>
    <t xml:space="preserve">Total Net Benefit (3 years, undiscounted)</t>
  </si>
  <si>
    <t xml:space="preserve">Total Benefit – Total Cost</t>
  </si>
  <si>
    <t xml:space="preserve">NPV of Net Benefit (discounted)</t>
  </si>
  <si>
    <t xml:space="preserve">Discounted at the annual rate set in Assumptions</t>
  </si>
  <si>
    <t xml:space="preserve">ROI % (3-year)</t>
  </si>
  <si>
    <t xml:space="preserve">Net Benefit ÷ Total Cost</t>
  </si>
  <si>
    <t xml:space="preserve">Benefit-Cost Ratio</t>
  </si>
  <si>
    <t xml:space="preserve">Total Benefit ÷ Total Cost</t>
  </si>
  <si>
    <t xml:space="preserve">Payback Period</t>
  </si>
  <si>
    <t xml:space="preserve">Payback period (in quarters, undiscounted cumulative)</t>
  </si>
  <si>
    <t xml:space="preserve">First quarter where cumulative net benefit turns positive</t>
  </si>
  <si>
    <t xml:space="preserve">Payback period (Year / Quarter)</t>
  </si>
  <si>
    <t xml:space="preserve">Year-by-Year Breakdown</t>
  </si>
  <si>
    <t xml:space="preserve">Year</t>
  </si>
  <si>
    <t xml:space="preserve">Net Benefit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</si>
</sst>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;&quot;($&quot;#,##0\);\-"/>
    <numFmt numFmtId="167" formatCode="0.0000"/>
    <numFmt numFmtId="168" formatCode="0.00\x"/>
    <numFmt numFmtId="169" formatCode="0&quot; quarters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5"/>
  </cols>
  <sheetData>
    <row r="1" customFormat="false" ht="15.7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/>
    <row r="3" customFormat="false" ht="15.75" hidden="false" customHeight="true" outlineLevel="0" collapsed="false">
      <c r="A3" s="2" t="s">
        <v>1</v>
      </c>
      <c r="B3" s="2"/>
      <c r="C3" s="2"/>
    </row>
    <row r="4" customFormat="false" ht="15.75" hidden="false" customHeight="true" outlineLevel="0" collapsed="false">
      <c r="A4" s="0" t="s">
        <v>2</v>
      </c>
      <c r="B4" s="3" t="n">
        <v>0.1</v>
      </c>
      <c r="C4" s="4" t="s">
        <v>3</v>
      </c>
    </row>
    <row r="5" customFormat="false" ht="15.75" hidden="false" customHeight="true" outlineLevel="0" collapsed="false">
      <c r="A5" s="0" t="s">
        <v>4</v>
      </c>
      <c r="B5" s="3" t="n">
        <v>0.03</v>
      </c>
      <c r="C5" s="4" t="s">
        <v>5</v>
      </c>
    </row>
    <row r="6" customFormat="false" ht="15.75" hidden="false" customHeight="true" outlineLevel="0" collapsed="false"/>
    <row r="7" customFormat="false" ht="15.75" hidden="false" customHeight="true" outlineLevel="0" collapsed="false">
      <c r="A7" s="2" t="s">
        <v>6</v>
      </c>
      <c r="B7" s="2"/>
      <c r="C7" s="2"/>
    </row>
    <row r="8" customFormat="false" ht="15.75" hidden="false" customHeight="true" outlineLevel="0" collapsed="false">
      <c r="A8" s="0" t="s">
        <v>7</v>
      </c>
      <c r="B8" s="3" t="n">
        <v>0.4</v>
      </c>
    </row>
    <row r="9" customFormat="false" ht="15.75" hidden="false" customHeight="true" outlineLevel="0" collapsed="false">
      <c r="A9" s="0" t="s">
        <v>8</v>
      </c>
      <c r="B9" s="3" t="n">
        <v>0.75</v>
      </c>
    </row>
    <row r="10" customFormat="false" ht="15.75" hidden="false" customHeight="true" outlineLevel="0" collapsed="false">
      <c r="A10" s="0" t="s">
        <v>9</v>
      </c>
      <c r="B10" s="3" t="n">
        <v>1</v>
      </c>
    </row>
    <row r="11" customFormat="false" ht="15.75" hidden="false" customHeight="true" outlineLevel="0" collapsed="false">
      <c r="A11" s="4" t="s">
        <v>10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2" t="s">
        <v>11</v>
      </c>
      <c r="B13" s="2"/>
      <c r="C13" s="2"/>
    </row>
    <row r="14" customFormat="false" ht="15.75" hidden="false" customHeight="true" outlineLevel="0" collapsed="false">
      <c r="A14" s="0" t="s">
        <v>12</v>
      </c>
      <c r="B14" s="5" t="n">
        <v>500000</v>
      </c>
      <c r="C14" s="4" t="s">
        <v>13</v>
      </c>
    </row>
    <row r="15" customFormat="false" ht="15.75" hidden="false" customHeight="true" outlineLevel="0" collapsed="false">
      <c r="A15" s="0" t="s">
        <v>14</v>
      </c>
      <c r="B15" s="5" t="n">
        <v>40000</v>
      </c>
      <c r="C15" s="4" t="s">
        <v>15</v>
      </c>
    </row>
    <row r="16" customFormat="false" ht="15.75" hidden="false" customHeight="true" outlineLevel="0" collapsed="false">
      <c r="A16" s="0" t="s">
        <v>16</v>
      </c>
      <c r="B16" s="5" t="n">
        <v>0</v>
      </c>
      <c r="C16" s="4" t="s">
        <v>17</v>
      </c>
    </row>
    <row r="17" customFormat="false" ht="15.75" hidden="false" customHeight="true" outlineLevel="0" collapsed="false"/>
    <row r="18" customFormat="false" ht="15.75" hidden="false" customHeight="true" outlineLevel="0" collapsed="false">
      <c r="A18" s="2" t="s">
        <v>18</v>
      </c>
      <c r="B18" s="2"/>
      <c r="C18" s="2"/>
    </row>
    <row r="19" customFormat="false" ht="15.75" hidden="false" customHeight="true" outlineLevel="0" collapsed="false">
      <c r="A19" s="0" t="s">
        <v>19</v>
      </c>
      <c r="B19" s="5" t="n">
        <v>800000</v>
      </c>
      <c r="C19" s="4" t="s">
        <v>20</v>
      </c>
    </row>
    <row r="20" customFormat="false" ht="15.75" hidden="false" customHeight="true" outlineLevel="0" collapsed="false">
      <c r="A20" s="0" t="s">
        <v>21</v>
      </c>
      <c r="B20" s="5" t="n">
        <v>300000</v>
      </c>
      <c r="C20" s="4" t="s">
        <v>22</v>
      </c>
    </row>
    <row r="21" customFormat="false" ht="15.75" hidden="false" customHeight="true" outlineLevel="0" collapsed="false">
      <c r="A21" s="0" t="s">
        <v>23</v>
      </c>
      <c r="B21" s="5" t="n">
        <v>150000</v>
      </c>
      <c r="C21" s="4" t="s">
        <v>24</v>
      </c>
    </row>
    <row r="22" customFormat="false" ht="15.75" hidden="false" customHeight="true" outlineLevel="0" collapsed="false"/>
    <row r="23" customFormat="false" ht="15.75" hidden="false" customHeight="true" outlineLevel="0" collapsed="false"/>
  </sheetData>
  <mergeCells count="5">
    <mergeCell ref="A1:C1"/>
    <mergeCell ref="A3:C3"/>
    <mergeCell ref="A7:C7"/>
    <mergeCell ref="A13:C13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2"/>
    <col collapsed="false" customWidth="true" hidden="false" outlineLevel="0" max="6" min="6" style="0" width="13"/>
    <col collapsed="false" customWidth="true" hidden="false" outlineLevel="0" max="10" min="7" style="0" width="12"/>
    <col collapsed="false" customWidth="true" hidden="false" outlineLevel="0" max="11" min="11" style="0" width="13"/>
    <col collapsed="false" customWidth="true" hidden="false" outlineLevel="0" max="15" min="12" style="0" width="12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4" t="s">
        <v>26</v>
      </c>
      <c r="B3" s="6" t="s">
        <v>27</v>
      </c>
      <c r="C3" s="6"/>
      <c r="D3" s="6"/>
      <c r="E3" s="6"/>
      <c r="F3" s="6"/>
      <c r="G3" s="6" t="s">
        <v>28</v>
      </c>
      <c r="H3" s="6"/>
      <c r="I3" s="6"/>
      <c r="J3" s="6"/>
      <c r="K3" s="6"/>
      <c r="L3" s="6" t="s">
        <v>29</v>
      </c>
      <c r="M3" s="6"/>
      <c r="N3" s="6"/>
      <c r="O3" s="6"/>
      <c r="P3" s="6"/>
      <c r="Q3" s="7" t="s">
        <v>30</v>
      </c>
    </row>
    <row r="4" customFormat="false" ht="15" hidden="false" customHeight="false" outlineLevel="0" collapsed="false">
      <c r="A4" s="8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9"/>
    </row>
    <row r="6" customFormat="false" ht="15" hidden="false" customHeight="false" outlineLevel="0" collapsed="false">
      <c r="A6" s="10" t="s">
        <v>37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customFormat="false" ht="15" hidden="false" customHeight="false" outlineLevel="0" collapsed="false">
      <c r="A7" s="0" t="s">
        <v>38</v>
      </c>
      <c r="B7" s="12" t="n">
        <f aca="false">Assumptions!$B$14</f>
        <v>500000</v>
      </c>
      <c r="C7" s="12" t="n">
        <v>0</v>
      </c>
      <c r="D7" s="12" t="n">
        <v>0</v>
      </c>
      <c r="E7" s="12" t="n">
        <v>0</v>
      </c>
      <c r="F7" s="13" t="n">
        <f aca="false">SUM(B7:E7)</f>
        <v>500000</v>
      </c>
      <c r="G7" s="12" t="n">
        <v>0</v>
      </c>
      <c r="H7" s="12" t="n">
        <v>0</v>
      </c>
      <c r="I7" s="12" t="n">
        <v>0</v>
      </c>
      <c r="J7" s="12" t="n">
        <v>0</v>
      </c>
      <c r="K7" s="13" t="n">
        <f aca="false">SUM(G7:J7)</f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3" t="n">
        <f aca="false">SUM(L7:O7)</f>
        <v>0</v>
      </c>
      <c r="Q7" s="13" t="n">
        <f aca="false">F7+K7+P7</f>
        <v>500000</v>
      </c>
    </row>
    <row r="8" customFormat="false" ht="15" hidden="false" customHeight="false" outlineLevel="0" collapsed="false">
      <c r="A8" s="0" t="s">
        <v>39</v>
      </c>
      <c r="B8" s="12" t="n">
        <f aca="false">Assumptions!$B$15*1</f>
        <v>40000</v>
      </c>
      <c r="C8" s="12" t="n">
        <f aca="false">Assumptions!$B$15*1</f>
        <v>40000</v>
      </c>
      <c r="D8" s="12" t="n">
        <f aca="false">Assumptions!$B$15*1</f>
        <v>40000</v>
      </c>
      <c r="E8" s="12" t="n">
        <f aca="false">Assumptions!$B$15*1</f>
        <v>40000</v>
      </c>
      <c r="F8" s="13" t="n">
        <f aca="false">SUM(B8:E8)</f>
        <v>160000</v>
      </c>
      <c r="G8" s="12" t="n">
        <f aca="false">Assumptions!$B$15*(1+Assumptions!$B$5)</f>
        <v>41200</v>
      </c>
      <c r="H8" s="12" t="n">
        <f aca="false">Assumptions!$B$15*(1+Assumptions!$B$5)</f>
        <v>41200</v>
      </c>
      <c r="I8" s="12" t="n">
        <f aca="false">Assumptions!$B$15*(1+Assumptions!$B$5)</f>
        <v>41200</v>
      </c>
      <c r="J8" s="12" t="n">
        <f aca="false">Assumptions!$B$15*(1+Assumptions!$B$5)</f>
        <v>41200</v>
      </c>
      <c r="K8" s="13" t="n">
        <f aca="false">SUM(G8:J8)</f>
        <v>164800</v>
      </c>
      <c r="L8" s="12" t="n">
        <f aca="false">Assumptions!$B$15*(1+Assumptions!$B$5)^2</f>
        <v>42436</v>
      </c>
      <c r="M8" s="12" t="n">
        <f aca="false">Assumptions!$B$15*(1+Assumptions!$B$5)^2</f>
        <v>42436</v>
      </c>
      <c r="N8" s="12" t="n">
        <f aca="false">Assumptions!$B$15*(1+Assumptions!$B$5)^2</f>
        <v>42436</v>
      </c>
      <c r="O8" s="12" t="n">
        <f aca="false">Assumptions!$B$15*(1+Assumptions!$B$5)^2</f>
        <v>42436</v>
      </c>
      <c r="P8" s="13" t="n">
        <f aca="false">SUM(L8:O8)</f>
        <v>169744</v>
      </c>
      <c r="Q8" s="13" t="n">
        <f aca="false">F8+K8+P8</f>
        <v>494544</v>
      </c>
    </row>
    <row r="9" customFormat="false" ht="15" hidden="false" customHeight="false" outlineLevel="0" collapsed="false">
      <c r="A9" s="0" t="s">
        <v>40</v>
      </c>
      <c r="B9" s="12" t="n">
        <f aca="false">Assumptions!$B$16*1</f>
        <v>0</v>
      </c>
      <c r="C9" s="12" t="n">
        <f aca="false">Assumptions!$B$16*1</f>
        <v>0</v>
      </c>
      <c r="D9" s="12" t="n">
        <f aca="false">Assumptions!$B$16*1</f>
        <v>0</v>
      </c>
      <c r="E9" s="12" t="n">
        <f aca="false">Assumptions!$B$16*1</f>
        <v>0</v>
      </c>
      <c r="F9" s="13" t="n">
        <f aca="false">SUM(B9:E9)</f>
        <v>0</v>
      </c>
      <c r="G9" s="12" t="n">
        <f aca="false">Assumptions!$B$16*(1+Assumptions!$B$5)</f>
        <v>0</v>
      </c>
      <c r="H9" s="12" t="n">
        <f aca="false">Assumptions!$B$16*(1+Assumptions!$B$5)</f>
        <v>0</v>
      </c>
      <c r="I9" s="12" t="n">
        <f aca="false">Assumptions!$B$16*(1+Assumptions!$B$5)</f>
        <v>0</v>
      </c>
      <c r="J9" s="12" t="n">
        <f aca="false">Assumptions!$B$16*(1+Assumptions!$B$5)</f>
        <v>0</v>
      </c>
      <c r="K9" s="13" t="n">
        <f aca="false">SUM(G9:J9)</f>
        <v>0</v>
      </c>
      <c r="L9" s="12" t="n">
        <f aca="false">Assumptions!$B$16*(1+Assumptions!$B$5)^2</f>
        <v>0</v>
      </c>
      <c r="M9" s="12" t="n">
        <f aca="false">Assumptions!$B$16*(1+Assumptions!$B$5)^2</f>
        <v>0</v>
      </c>
      <c r="N9" s="12" t="n">
        <f aca="false">Assumptions!$B$16*(1+Assumptions!$B$5)^2</f>
        <v>0</v>
      </c>
      <c r="O9" s="12" t="n">
        <f aca="false">Assumptions!$B$16*(1+Assumptions!$B$5)^2</f>
        <v>0</v>
      </c>
      <c r="P9" s="13" t="n">
        <f aca="false">SUM(L9:O9)</f>
        <v>0</v>
      </c>
      <c r="Q9" s="13" t="n">
        <f aca="false">F9+K9+P9</f>
        <v>0</v>
      </c>
    </row>
    <row r="10" customFormat="false" ht="15" hidden="false" customHeight="false" outlineLevel="0" collapsed="false">
      <c r="A10" s="14" t="s">
        <v>41</v>
      </c>
      <c r="B10" s="15" t="n">
        <f aca="false">SUM(B7:B9)</f>
        <v>540000</v>
      </c>
      <c r="C10" s="15" t="n">
        <f aca="false">SUM(C7:C9)</f>
        <v>40000</v>
      </c>
      <c r="D10" s="15" t="n">
        <f aca="false">SUM(D7:D9)</f>
        <v>40000</v>
      </c>
      <c r="E10" s="15" t="n">
        <f aca="false">SUM(E7:E9)</f>
        <v>40000</v>
      </c>
      <c r="F10" s="15" t="n">
        <f aca="false">SUM(F7:F9)</f>
        <v>660000</v>
      </c>
      <c r="G10" s="15" t="n">
        <f aca="false">SUM(G7:G9)</f>
        <v>41200</v>
      </c>
      <c r="H10" s="15" t="n">
        <f aca="false">SUM(H7:H9)</f>
        <v>41200</v>
      </c>
      <c r="I10" s="15" t="n">
        <f aca="false">SUM(I7:I9)</f>
        <v>41200</v>
      </c>
      <c r="J10" s="15" t="n">
        <f aca="false">SUM(J7:J9)</f>
        <v>41200</v>
      </c>
      <c r="K10" s="15" t="n">
        <f aca="false">SUM(K7:K9)</f>
        <v>164800</v>
      </c>
      <c r="L10" s="15" t="n">
        <f aca="false">SUM(L7:L9)</f>
        <v>42436</v>
      </c>
      <c r="M10" s="15" t="n">
        <f aca="false">SUM(M7:M9)</f>
        <v>42436</v>
      </c>
      <c r="N10" s="15" t="n">
        <f aca="false">SUM(N7:N9)</f>
        <v>42436</v>
      </c>
      <c r="O10" s="15" t="n">
        <f aca="false">SUM(O7:O9)</f>
        <v>42436</v>
      </c>
      <c r="P10" s="15" t="n">
        <f aca="false">SUM(P7:P9)</f>
        <v>169744</v>
      </c>
      <c r="Q10" s="15" t="n">
        <f aca="false">F10+K10+P10</f>
        <v>994544</v>
      </c>
    </row>
    <row r="12" customFormat="false" ht="15" hidden="false" customHeight="false" outlineLevel="0" collapsed="false">
      <c r="A12" s="10" t="s">
        <v>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15" hidden="false" customHeight="false" outlineLevel="0" collapsed="false">
      <c r="A13" s="0" t="s">
        <v>43</v>
      </c>
      <c r="B13" s="12" t="n">
        <f aca="false">Assumptions!$B$19/4*Assumptions!$B$8</f>
        <v>80000</v>
      </c>
      <c r="C13" s="12" t="n">
        <f aca="false">Assumptions!$B$19/4*Assumptions!$B$8</f>
        <v>80000</v>
      </c>
      <c r="D13" s="12" t="n">
        <f aca="false">Assumptions!$B$19/4*Assumptions!$B$8</f>
        <v>80000</v>
      </c>
      <c r="E13" s="12" t="n">
        <f aca="false">Assumptions!$B$19/4*Assumptions!$B$8</f>
        <v>80000</v>
      </c>
      <c r="F13" s="13" t="n">
        <f aca="false">SUM(B13:E13)</f>
        <v>320000</v>
      </c>
      <c r="G13" s="12" t="n">
        <f aca="false">Assumptions!$B$19/4*Assumptions!$B$9</f>
        <v>150000</v>
      </c>
      <c r="H13" s="12" t="n">
        <f aca="false">Assumptions!$B$19/4*Assumptions!$B$9</f>
        <v>150000</v>
      </c>
      <c r="I13" s="12" t="n">
        <f aca="false">Assumptions!$B$19/4*Assumptions!$B$9</f>
        <v>150000</v>
      </c>
      <c r="J13" s="12" t="n">
        <f aca="false">Assumptions!$B$19/4*Assumptions!$B$9</f>
        <v>150000</v>
      </c>
      <c r="K13" s="13" t="n">
        <f aca="false">SUM(G13:J13)</f>
        <v>600000</v>
      </c>
      <c r="L13" s="12" t="n">
        <f aca="false">Assumptions!$B$19/4*Assumptions!$B$10</f>
        <v>200000</v>
      </c>
      <c r="M13" s="12" t="n">
        <f aca="false">Assumptions!$B$19/4*Assumptions!$B$10</f>
        <v>200000</v>
      </c>
      <c r="N13" s="12" t="n">
        <f aca="false">Assumptions!$B$19/4*Assumptions!$B$10</f>
        <v>200000</v>
      </c>
      <c r="O13" s="12" t="n">
        <f aca="false">Assumptions!$B$19/4*Assumptions!$B$10</f>
        <v>200000</v>
      </c>
      <c r="P13" s="13" t="n">
        <f aca="false">SUM(L13:O13)</f>
        <v>800000</v>
      </c>
      <c r="Q13" s="13" t="n">
        <f aca="false">F13+K13+P13</f>
        <v>1720000</v>
      </c>
    </row>
    <row r="14" customFormat="false" ht="15" hidden="false" customHeight="false" outlineLevel="0" collapsed="false">
      <c r="A14" s="0" t="s">
        <v>44</v>
      </c>
      <c r="B14" s="12" t="n">
        <f aca="false">Assumptions!$B$20/4*Assumptions!$B$8</f>
        <v>30000</v>
      </c>
      <c r="C14" s="12" t="n">
        <f aca="false">Assumptions!$B$20/4*Assumptions!$B$8</f>
        <v>30000</v>
      </c>
      <c r="D14" s="12" t="n">
        <f aca="false">Assumptions!$B$20/4*Assumptions!$B$8</f>
        <v>30000</v>
      </c>
      <c r="E14" s="12" t="n">
        <f aca="false">Assumptions!$B$20/4*Assumptions!$B$8</f>
        <v>30000</v>
      </c>
      <c r="F14" s="13" t="n">
        <f aca="false">SUM(B14:E14)</f>
        <v>120000</v>
      </c>
      <c r="G14" s="12" t="n">
        <f aca="false">Assumptions!$B$20/4*Assumptions!$B$9</f>
        <v>56250</v>
      </c>
      <c r="H14" s="12" t="n">
        <f aca="false">Assumptions!$B$20/4*Assumptions!$B$9</f>
        <v>56250</v>
      </c>
      <c r="I14" s="12" t="n">
        <f aca="false">Assumptions!$B$20/4*Assumptions!$B$9</f>
        <v>56250</v>
      </c>
      <c r="J14" s="12" t="n">
        <f aca="false">Assumptions!$B$20/4*Assumptions!$B$9</f>
        <v>56250</v>
      </c>
      <c r="K14" s="13" t="n">
        <f aca="false">SUM(G14:J14)</f>
        <v>225000</v>
      </c>
      <c r="L14" s="12" t="n">
        <f aca="false">Assumptions!$B$20/4*Assumptions!$B$10</f>
        <v>75000</v>
      </c>
      <c r="M14" s="12" t="n">
        <f aca="false">Assumptions!$B$20/4*Assumptions!$B$10</f>
        <v>75000</v>
      </c>
      <c r="N14" s="12" t="n">
        <f aca="false">Assumptions!$B$20/4*Assumptions!$B$10</f>
        <v>75000</v>
      </c>
      <c r="O14" s="12" t="n">
        <f aca="false">Assumptions!$B$20/4*Assumptions!$B$10</f>
        <v>75000</v>
      </c>
      <c r="P14" s="13" t="n">
        <f aca="false">SUM(L14:O14)</f>
        <v>300000</v>
      </c>
      <c r="Q14" s="13" t="n">
        <f aca="false">F14+K14+P14</f>
        <v>645000</v>
      </c>
    </row>
    <row r="15" customFormat="false" ht="15" hidden="false" customHeight="false" outlineLevel="0" collapsed="false">
      <c r="A15" s="0" t="s">
        <v>45</v>
      </c>
      <c r="B15" s="12" t="n">
        <f aca="false">Assumptions!$B$21/4*Assumptions!$B$8</f>
        <v>15000</v>
      </c>
      <c r="C15" s="12" t="n">
        <f aca="false">Assumptions!$B$21/4*Assumptions!$B$8</f>
        <v>15000</v>
      </c>
      <c r="D15" s="12" t="n">
        <f aca="false">Assumptions!$B$21/4*Assumptions!$B$8</f>
        <v>15000</v>
      </c>
      <c r="E15" s="12" t="n">
        <f aca="false">Assumptions!$B$21/4*Assumptions!$B$8</f>
        <v>15000</v>
      </c>
      <c r="F15" s="13" t="n">
        <f aca="false">SUM(B15:E15)</f>
        <v>60000</v>
      </c>
      <c r="G15" s="12" t="n">
        <f aca="false">Assumptions!$B$21/4*Assumptions!$B$9</f>
        <v>28125</v>
      </c>
      <c r="H15" s="12" t="n">
        <f aca="false">Assumptions!$B$21/4*Assumptions!$B$9</f>
        <v>28125</v>
      </c>
      <c r="I15" s="12" t="n">
        <f aca="false">Assumptions!$B$21/4*Assumptions!$B$9</f>
        <v>28125</v>
      </c>
      <c r="J15" s="12" t="n">
        <f aca="false">Assumptions!$B$21/4*Assumptions!$B$9</f>
        <v>28125</v>
      </c>
      <c r="K15" s="13" t="n">
        <f aca="false">SUM(G15:J15)</f>
        <v>112500</v>
      </c>
      <c r="L15" s="12" t="n">
        <f aca="false">Assumptions!$B$21/4*Assumptions!$B$10</f>
        <v>37500</v>
      </c>
      <c r="M15" s="12" t="n">
        <f aca="false">Assumptions!$B$21/4*Assumptions!$B$10</f>
        <v>37500</v>
      </c>
      <c r="N15" s="12" t="n">
        <f aca="false">Assumptions!$B$21/4*Assumptions!$B$10</f>
        <v>37500</v>
      </c>
      <c r="O15" s="12" t="n">
        <f aca="false">Assumptions!$B$21/4*Assumptions!$B$10</f>
        <v>37500</v>
      </c>
      <c r="P15" s="13" t="n">
        <f aca="false">SUM(L15:O15)</f>
        <v>150000</v>
      </c>
      <c r="Q15" s="13" t="n">
        <f aca="false">F15+K15+P15</f>
        <v>322500</v>
      </c>
    </row>
    <row r="16" customFormat="false" ht="15" hidden="false" customHeight="false" outlineLevel="0" collapsed="false">
      <c r="A16" s="14" t="s">
        <v>46</v>
      </c>
      <c r="B16" s="15" t="n">
        <f aca="false">SUM(B13:B15)</f>
        <v>125000</v>
      </c>
      <c r="C16" s="15" t="n">
        <f aca="false">SUM(C13:C15)</f>
        <v>125000</v>
      </c>
      <c r="D16" s="15" t="n">
        <f aca="false">SUM(D13:D15)</f>
        <v>125000</v>
      </c>
      <c r="E16" s="15" t="n">
        <f aca="false">SUM(E13:E15)</f>
        <v>125000</v>
      </c>
      <c r="F16" s="15" t="n">
        <f aca="false">SUM(F13:F15)</f>
        <v>500000</v>
      </c>
      <c r="G16" s="15" t="n">
        <f aca="false">SUM(G13:G15)</f>
        <v>234375</v>
      </c>
      <c r="H16" s="15" t="n">
        <f aca="false">SUM(H13:H15)</f>
        <v>234375</v>
      </c>
      <c r="I16" s="15" t="n">
        <f aca="false">SUM(I13:I15)</f>
        <v>234375</v>
      </c>
      <c r="J16" s="15" t="n">
        <f aca="false">SUM(J13:J15)</f>
        <v>234375</v>
      </c>
      <c r="K16" s="15" t="n">
        <f aca="false">SUM(K13:K15)</f>
        <v>937500</v>
      </c>
      <c r="L16" s="15" t="n">
        <f aca="false">SUM(L13:L15)</f>
        <v>312500</v>
      </c>
      <c r="M16" s="15" t="n">
        <f aca="false">SUM(M13:M15)</f>
        <v>312500</v>
      </c>
      <c r="N16" s="15" t="n">
        <f aca="false">SUM(N13:N15)</f>
        <v>312500</v>
      </c>
      <c r="O16" s="15" t="n">
        <f aca="false">SUM(O13:O15)</f>
        <v>312500</v>
      </c>
      <c r="P16" s="15" t="n">
        <f aca="false">SUM(P13:P15)</f>
        <v>1250000</v>
      </c>
      <c r="Q16" s="15" t="n">
        <f aca="false">F16+K16+P16</f>
        <v>2687500</v>
      </c>
    </row>
    <row r="18" customFormat="false" ht="15" hidden="false" customHeight="false" outlineLevel="0" collapsed="false">
      <c r="A18" s="16" t="s">
        <v>47</v>
      </c>
      <c r="B18" s="17" t="n">
        <f aca="false">B16-B10</f>
        <v>-415000</v>
      </c>
      <c r="C18" s="17" t="n">
        <f aca="false">C16-C10</f>
        <v>85000</v>
      </c>
      <c r="D18" s="17" t="n">
        <f aca="false">D16-D10</f>
        <v>85000</v>
      </c>
      <c r="E18" s="17" t="n">
        <f aca="false">E16-E10</f>
        <v>85000</v>
      </c>
      <c r="F18" s="17" t="n">
        <f aca="false">F16-F10</f>
        <v>-160000</v>
      </c>
      <c r="G18" s="17" t="n">
        <f aca="false">G16-G10</f>
        <v>193175</v>
      </c>
      <c r="H18" s="17" t="n">
        <f aca="false">H16-H10</f>
        <v>193175</v>
      </c>
      <c r="I18" s="17" t="n">
        <f aca="false">I16-I10</f>
        <v>193175</v>
      </c>
      <c r="J18" s="17" t="n">
        <f aca="false">J16-J10</f>
        <v>193175</v>
      </c>
      <c r="K18" s="17" t="n">
        <f aca="false">K16-K10</f>
        <v>772700</v>
      </c>
      <c r="L18" s="17" t="n">
        <f aca="false">L16-L10</f>
        <v>270064</v>
      </c>
      <c r="M18" s="17" t="n">
        <f aca="false">M16-M10</f>
        <v>270064</v>
      </c>
      <c r="N18" s="17" t="n">
        <f aca="false">N16-N10</f>
        <v>270064</v>
      </c>
      <c r="O18" s="17" t="n">
        <f aca="false">O16-O10</f>
        <v>270064</v>
      </c>
      <c r="P18" s="17" t="n">
        <f aca="false">P16-P10</f>
        <v>1080256</v>
      </c>
      <c r="Q18" s="17" t="n">
        <f aca="false">F18+K18+P18</f>
        <v>1692956</v>
      </c>
    </row>
    <row r="19" customFormat="false" ht="15" hidden="false" customHeight="false" outlineLevel="0" collapsed="false">
      <c r="A19" s="0" t="s">
        <v>48</v>
      </c>
      <c r="B19" s="13" t="n">
        <f aca="false">B18</f>
        <v>-415000</v>
      </c>
      <c r="C19" s="13" t="n">
        <f aca="false">B19+C18</f>
        <v>-330000</v>
      </c>
      <c r="D19" s="13" t="n">
        <f aca="false">C19+D18</f>
        <v>-245000</v>
      </c>
      <c r="E19" s="13" t="n">
        <f aca="false">D19+E18</f>
        <v>-160000</v>
      </c>
      <c r="F19" s="15" t="n">
        <f aca="false">E19</f>
        <v>-160000</v>
      </c>
      <c r="G19" s="13" t="n">
        <f aca="false">E19+G18</f>
        <v>33175</v>
      </c>
      <c r="H19" s="13" t="n">
        <f aca="false">G19+H18</f>
        <v>226350</v>
      </c>
      <c r="I19" s="13" t="n">
        <f aca="false">H19+I18</f>
        <v>419525</v>
      </c>
      <c r="J19" s="13" t="n">
        <f aca="false">I19+J18</f>
        <v>612700</v>
      </c>
      <c r="K19" s="15" t="n">
        <f aca="false">J19</f>
        <v>612700</v>
      </c>
      <c r="L19" s="13" t="n">
        <f aca="false">J19+L18</f>
        <v>882764</v>
      </c>
      <c r="M19" s="13" t="n">
        <f aca="false">L19+M18</f>
        <v>1152828</v>
      </c>
      <c r="N19" s="13" t="n">
        <f aca="false">M19+N18</f>
        <v>1422892</v>
      </c>
      <c r="O19" s="13" t="n">
        <f aca="false">N19+O18</f>
        <v>1692956</v>
      </c>
      <c r="P19" s="15" t="n">
        <f aca="false">O19</f>
        <v>1692956</v>
      </c>
      <c r="Q19" s="15" t="n">
        <f aca="false">P19</f>
        <v>1692956</v>
      </c>
    </row>
    <row r="21" customFormat="false" ht="15" hidden="false" customHeight="false" outlineLevel="0" collapsed="false">
      <c r="A21" s="10" t="s">
        <v>49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customFormat="false" ht="15" hidden="false" customHeight="false" outlineLevel="0" collapsed="false">
      <c r="A22" s="0" t="s">
        <v>50</v>
      </c>
      <c r="B22" s="18" t="n">
        <f aca="false">1/(1+((1+Assumptions!$B$4)^(1/4)-1))^1</f>
        <v>0.976454089676311</v>
      </c>
      <c r="C22" s="18" t="n">
        <f aca="false">1/(1+((1+Assumptions!$B$4)^(1/4)-1))^2</f>
        <v>0.953462589245593</v>
      </c>
      <c r="D22" s="18" t="n">
        <f aca="false">1/(1+((1+Assumptions!$B$4)^(1/4)-1))^3</f>
        <v>0.931012444622223</v>
      </c>
      <c r="E22" s="18" t="n">
        <f aca="false">1/(1+((1+Assumptions!$B$4)^(1/4)-1))^4</f>
        <v>0.909090909090909</v>
      </c>
      <c r="G22" s="18" t="n">
        <f aca="false">1/(1+((1+Assumptions!$B$4)^(1/4)-1))^5</f>
        <v>0.887685536069373</v>
      </c>
      <c r="H22" s="18" t="n">
        <f aca="false">1/(1+((1+Assumptions!$B$4)^(1/4)-1))^6</f>
        <v>0.866784172041448</v>
      </c>
      <c r="I22" s="18" t="n">
        <f aca="false">1/(1+((1+Assumptions!$B$4)^(1/4)-1))^7</f>
        <v>0.846374949656567</v>
      </c>
      <c r="J22" s="18" t="n">
        <f aca="false">1/(1+((1+Assumptions!$B$4)^(1/4)-1))^8</f>
        <v>0.826446280991736</v>
      </c>
      <c r="L22" s="18" t="n">
        <f aca="false">1/(1+((1+Assumptions!$B$4)^(1/4)-1))^9</f>
        <v>0.806986850972158</v>
      </c>
      <c r="M22" s="18" t="n">
        <f aca="false">1/(1+((1+Assumptions!$B$4)^(1/4)-1))^10</f>
        <v>0.787985610946771</v>
      </c>
      <c r="N22" s="18" t="n">
        <f aca="false">1/(1+((1+Assumptions!$B$4)^(1/4)-1))^11</f>
        <v>0.76943177241506</v>
      </c>
      <c r="O22" s="18" t="n">
        <f aca="false">1/(1+((1+Assumptions!$B$4)^(1/4)-1))^12</f>
        <v>0.751314800901578</v>
      </c>
    </row>
    <row r="23" customFormat="false" ht="15" hidden="false" customHeight="false" outlineLevel="0" collapsed="false">
      <c r="A23" s="0" t="s">
        <v>51</v>
      </c>
      <c r="B23" s="13" t="n">
        <f aca="false">B18*B22</f>
        <v>-405228.447215669</v>
      </c>
      <c r="C23" s="13" t="n">
        <f aca="false">C18*C22</f>
        <v>81044.3200858754</v>
      </c>
      <c r="D23" s="13" t="n">
        <f aca="false">D18*D22</f>
        <v>79136.0577928889</v>
      </c>
      <c r="E23" s="13" t="n">
        <f aca="false">E18*E22</f>
        <v>77272.7272727273</v>
      </c>
      <c r="F23" s="15" t="n">
        <f aca="false">SUM(B23:E23)</f>
        <v>-167775.342064177</v>
      </c>
      <c r="G23" s="13" t="n">
        <f aca="false">G18*G22</f>
        <v>171478.653430201</v>
      </c>
      <c r="H23" s="13" t="n">
        <f aca="false">H18*H22</f>
        <v>167441.032434107</v>
      </c>
      <c r="I23" s="13" t="n">
        <f aca="false">I18*I22</f>
        <v>163498.480899907</v>
      </c>
      <c r="J23" s="13" t="n">
        <f aca="false">J18*J22</f>
        <v>159648.760330579</v>
      </c>
      <c r="K23" s="15" t="n">
        <f aca="false">SUM(G23:J23)</f>
        <v>662066.927094794</v>
      </c>
      <c r="L23" s="13" t="n">
        <f aca="false">L18*L22</f>
        <v>217938.096920945</v>
      </c>
      <c r="M23" s="13" t="n">
        <f aca="false">M18*M22</f>
        <v>212806.546034729</v>
      </c>
      <c r="N23" s="13" t="n">
        <f aca="false">N18*N22</f>
        <v>207795.822185501</v>
      </c>
      <c r="O23" s="13" t="n">
        <f aca="false">O18*O22</f>
        <v>202903.080390684</v>
      </c>
      <c r="P23" s="15" t="n">
        <f aca="false">SUM(L23:O23)</f>
        <v>841443.545531858</v>
      </c>
      <c r="Q23" s="15" t="n">
        <f aca="false">F23+K23+P23</f>
        <v>1335735.13056247</v>
      </c>
    </row>
    <row r="24" customFormat="false" ht="15" hidden="false" customHeight="false" outlineLevel="0" collapsed="false">
      <c r="A24" s="19" t="s">
        <v>52</v>
      </c>
      <c r="B24" s="20" t="n">
        <f aca="false">B23</f>
        <v>-405228.447215669</v>
      </c>
      <c r="C24" s="20" t="n">
        <f aca="false">B24+C23</f>
        <v>-324184.127129794</v>
      </c>
      <c r="D24" s="20" t="n">
        <f aca="false">C24+D23</f>
        <v>-245048.069336905</v>
      </c>
      <c r="E24" s="20" t="n">
        <f aca="false">D24+E23</f>
        <v>-167775.342064177</v>
      </c>
      <c r="F24" s="20" t="n">
        <f aca="false">E24</f>
        <v>-167775.342064177</v>
      </c>
      <c r="G24" s="20" t="n">
        <f aca="false">E24+G23</f>
        <v>3703.3113660239</v>
      </c>
      <c r="H24" s="20" t="n">
        <f aca="false">G24+H23</f>
        <v>171144.343800131</v>
      </c>
      <c r="I24" s="20" t="n">
        <f aca="false">H24+I23</f>
        <v>334642.824700038</v>
      </c>
      <c r="J24" s="20" t="n">
        <f aca="false">I24+J23</f>
        <v>494291.585030616</v>
      </c>
      <c r="K24" s="20" t="n">
        <f aca="false">J24</f>
        <v>494291.585030616</v>
      </c>
      <c r="L24" s="20" t="n">
        <f aca="false">J24+L23</f>
        <v>712229.681951561</v>
      </c>
      <c r="M24" s="20" t="n">
        <f aca="false">L24+M23</f>
        <v>925036.22798629</v>
      </c>
      <c r="N24" s="20" t="n">
        <f aca="false">M24+N23</f>
        <v>1132832.05017179</v>
      </c>
      <c r="O24" s="20" t="n">
        <f aca="false">N24+O23</f>
        <v>1335735.13056247</v>
      </c>
      <c r="P24" s="20" t="n">
        <f aca="false">O24</f>
        <v>1335735.13056247</v>
      </c>
      <c r="Q24" s="20" t="n">
        <f aca="false">P24</f>
        <v>1335735.13056247</v>
      </c>
    </row>
  </sheetData>
  <mergeCells count="4">
    <mergeCell ref="A1:Q1"/>
    <mergeCell ref="B3:F3"/>
    <mergeCell ref="G3:K3"/>
    <mergeCell ref="L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53</v>
      </c>
      <c r="B1" s="1"/>
      <c r="C1" s="1"/>
    </row>
    <row r="3" customFormat="false" ht="15" hidden="false" customHeight="false" outlineLevel="0" collapsed="false">
      <c r="A3" s="21" t="s">
        <v>54</v>
      </c>
      <c r="B3" s="21" t="s">
        <v>55</v>
      </c>
      <c r="C3" s="21" t="s">
        <v>56</v>
      </c>
    </row>
    <row r="4" customFormat="false" ht="15" hidden="false" customHeight="false" outlineLevel="0" collapsed="false">
      <c r="A4" s="0" t="s">
        <v>57</v>
      </c>
      <c r="B4" s="22" t="n">
        <f aca="false">'3-Year Model'!Q10</f>
        <v>994544</v>
      </c>
      <c r="C4" s="4" t="s">
        <v>58</v>
      </c>
    </row>
    <row r="5" customFormat="false" ht="15" hidden="false" customHeight="false" outlineLevel="0" collapsed="false">
      <c r="A5" s="0" t="s">
        <v>59</v>
      </c>
      <c r="B5" s="22" t="n">
        <f aca="false">'3-Year Model'!Q16</f>
        <v>2687500</v>
      </c>
      <c r="C5" s="4" t="s">
        <v>60</v>
      </c>
    </row>
    <row r="6" customFormat="false" ht="15" hidden="false" customHeight="false" outlineLevel="0" collapsed="false">
      <c r="A6" s="0" t="s">
        <v>61</v>
      </c>
      <c r="B6" s="22" t="n">
        <f aca="false">'3-Year Model'!Q18</f>
        <v>1692956</v>
      </c>
      <c r="C6" s="4" t="s">
        <v>62</v>
      </c>
    </row>
    <row r="7" customFormat="false" ht="15" hidden="false" customHeight="false" outlineLevel="0" collapsed="false">
      <c r="A7" s="0" t="s">
        <v>63</v>
      </c>
      <c r="B7" s="22" t="n">
        <f aca="false">'3-Year Model'!Q24</f>
        <v>1335735.13056247</v>
      </c>
      <c r="C7" s="4" t="s">
        <v>64</v>
      </c>
    </row>
    <row r="8" customFormat="false" ht="15" hidden="false" customHeight="false" outlineLevel="0" collapsed="false">
      <c r="A8" s="0" t="s">
        <v>65</v>
      </c>
      <c r="B8" s="23" t="n">
        <f aca="false">B6/B4</f>
        <v>1.70224344020978</v>
      </c>
      <c r="C8" s="4" t="s">
        <v>66</v>
      </c>
    </row>
    <row r="9" customFormat="false" ht="15" hidden="false" customHeight="false" outlineLevel="0" collapsed="false">
      <c r="A9" s="0" t="s">
        <v>67</v>
      </c>
      <c r="B9" s="24" t="n">
        <f aca="false">B5/B4</f>
        <v>2.70224344020979</v>
      </c>
      <c r="C9" s="4" t="s">
        <v>68</v>
      </c>
    </row>
    <row r="11" customFormat="false" ht="15" hidden="false" customHeight="false" outlineLevel="0" collapsed="false">
      <c r="A11" s="25" t="s">
        <v>69</v>
      </c>
      <c r="B11" s="25"/>
      <c r="C11" s="25"/>
    </row>
    <row r="12" customFormat="false" ht="15" hidden="false" customHeight="false" outlineLevel="0" collapsed="false">
      <c r="A12" s="0" t="s">
        <v>70</v>
      </c>
      <c r="B12" s="26" t="n">
        <f aca="false">SUMPRODUCT(--('3-Year Model'!B19:E19&lt;=0))+SUMPRODUCT(--('3-Year Model'!G19:J19&lt;=0))+SUMPRODUCT(--('3-Year Model'!L19:O19&lt;=0))+1</f>
        <v>5</v>
      </c>
      <c r="C12" s="4" t="s">
        <v>71</v>
      </c>
    </row>
    <row r="13" customFormat="false" ht="15" hidden="false" customHeight="false" outlineLevel="0" collapsed="false">
      <c r="A13" s="0" t="s">
        <v>72</v>
      </c>
      <c r="B13" s="27" t="str">
        <f aca="false">"Year "&amp;ROUNDUP(B12/4,0)&amp;", Q"&amp;(B12-(ROUNDUP(B12/4,0)-1)*4)</f>
        <v>Year 2, Q1</v>
      </c>
    </row>
    <row r="15" customFormat="false" ht="15" hidden="false" customHeight="false" outlineLevel="0" collapsed="false">
      <c r="A15" s="25" t="s">
        <v>73</v>
      </c>
      <c r="B15" s="25"/>
      <c r="C15" s="25"/>
    </row>
    <row r="16" customFormat="false" ht="15" hidden="false" customHeight="false" outlineLevel="0" collapsed="false">
      <c r="A16" s="28" t="s">
        <v>74</v>
      </c>
      <c r="B16" s="28" t="s">
        <v>75</v>
      </c>
      <c r="C16" s="28" t="s">
        <v>48</v>
      </c>
    </row>
    <row r="17" customFormat="false" ht="15" hidden="false" customHeight="false" outlineLevel="0" collapsed="false">
      <c r="A17" s="0" t="s">
        <v>27</v>
      </c>
      <c r="B17" s="29" t="n">
        <f aca="false">'3-Year Model'!F18</f>
        <v>-160000</v>
      </c>
      <c r="C17" s="29" t="n">
        <f aca="false">'3-Year Model'!F19</f>
        <v>-160000</v>
      </c>
    </row>
    <row r="18" customFormat="false" ht="15" hidden="false" customHeight="false" outlineLevel="0" collapsed="false">
      <c r="A18" s="0" t="s">
        <v>28</v>
      </c>
      <c r="B18" s="29" t="n">
        <f aca="false">'3-Year Model'!K18</f>
        <v>772700</v>
      </c>
      <c r="C18" s="29" t="n">
        <f aca="false">'3-Year Model'!K19</f>
        <v>612700</v>
      </c>
    </row>
    <row r="19" customFormat="false" ht="15" hidden="false" customHeight="false" outlineLevel="0" collapsed="false">
      <c r="A19" s="0" t="s">
        <v>29</v>
      </c>
      <c r="B19" s="29" t="n">
        <f aca="false">'3-Year Model'!P18</f>
        <v>1080256</v>
      </c>
      <c r="C19" s="29" t="n">
        <f aca="false">'3-Year Model'!P19</f>
        <v>1692956</v>
      </c>
    </row>
  </sheetData>
  <mergeCells count="3">
    <mergeCell ref="A1:C1"/>
    <mergeCell ref="A11:C1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2026-07-09T10:17:29Z</dcterms:created>
  <dc:creator>openpyxl</dc:creator>
  <dc:description/>
  <dc:language>en-US</dc:language>
  <cp:lastModifiedBy/>
  <dcterms:modified xsi:type="dcterms:W3CDTF">2026-07-09T10:19:08Z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